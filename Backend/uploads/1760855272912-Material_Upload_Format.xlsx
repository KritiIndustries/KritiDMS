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MaterialFormat" sheetId="1" r:id="rId1"/>
  </sheets>
  <calcPr calcId="162913"/>
</workbook>
</file>

<file path=xl/calcChain.xml><?xml version="1.0" encoding="utf-8"?>
<calcChain xmlns="http://schemas.openxmlformats.org/spreadsheetml/2006/main">
  <c r="M79" i="1" l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<sst xmlns="http://schemas.openxmlformats.org/spreadsheetml/2006/main" count="484" uniqueCount="145">
  <si>
    <t>Code</t>
  </si>
  <si>
    <t>Name</t>
  </si>
  <si>
    <t>1 KG Price</t>
  </si>
  <si>
    <t>Packaing Cost</t>
  </si>
  <si>
    <t>SAP Unit</t>
  </si>
  <si>
    <t>WgtUnit</t>
  </si>
  <si>
    <t>Gross Weight</t>
  </si>
  <si>
    <t>Net Weight</t>
  </si>
  <si>
    <t>Plant</t>
  </si>
  <si>
    <t>Dewas ready price</t>
  </si>
  <si>
    <t>Dewas forward price</t>
  </si>
  <si>
    <t>JBGL price</t>
  </si>
  <si>
    <t>UP Price</t>
  </si>
  <si>
    <t>Primary category</t>
  </si>
  <si>
    <t>MaterialType</t>
  </si>
  <si>
    <t>Secondary Category</t>
  </si>
  <si>
    <t>REF. SOYABEAN OIL 15 LTR TIN</t>
  </si>
  <si>
    <t>EA</t>
  </si>
  <si>
    <t>KG</t>
  </si>
  <si>
    <t>SBO</t>
  </si>
  <si>
    <t>15 LTR TIN</t>
  </si>
  <si>
    <t> BP</t>
  </si>
  <si>
    <t>REF. SOYABEAN OIL 15 KG TIN</t>
  </si>
  <si>
    <t>15 KG TIN</t>
  </si>
  <si>
    <t>REF. SOYABEAN OIL 15 LTR SQUARE JAR</t>
  </si>
  <si>
    <t>15 LTR MJ</t>
  </si>
  <si>
    <t>REF. SOYABEAN OIL 15 KG SQUARE JAR</t>
  </si>
  <si>
    <t>15 KG JAR</t>
  </si>
  <si>
    <t>REF. SOYABEAN OIL 15 RELISH JAR</t>
  </si>
  <si>
    <t>15 LTR RELISH MJ</t>
  </si>
  <si>
    <t>REF. SOYABEAN OIL 5 LTR SQUARE JAR (1x4)</t>
  </si>
  <si>
    <t>BOX</t>
  </si>
  <si>
    <t>5 LTR SQ</t>
  </si>
  <si>
    <t> CP</t>
  </si>
  <si>
    <t>REF. SUNFLOWER OIL 15 LTR SQUARE JAR</t>
  </si>
  <si>
    <t>SFO</t>
  </si>
  <si>
    <t>REF. SUNFLOWER OIL 15 LTR TIN</t>
  </si>
  <si>
    <t>REF. SUNFLOWER OIL 5 LTR SQ. JAR (1x4)</t>
  </si>
  <si>
    <t>REF. SUNFLOWER OIL 15 LTR RELISH JAR</t>
  </si>
  <si>
    <t>REF. SUNFLOWER OIL 1 LTR POUCH (1x12)</t>
  </si>
  <si>
    <t>1 LTR R/P</t>
  </si>
  <si>
    <t>REF. SOYABEAN OIL 15 LTR BUCKET</t>
  </si>
  <si>
    <t>15 LTR BKT</t>
  </si>
  <si>
    <t>REF. SOYABEAN OIL 15 KG BUCKET</t>
  </si>
  <si>
    <t>15 KG BKT</t>
  </si>
  <si>
    <t>REF. SUNFLOWER OIL 15 LTR BUCKET</t>
  </si>
  <si>
    <t>REF. SUNFLOWER OIL 5 LTR BUCKET</t>
  </si>
  <si>
    <t>5 LTR BKT</t>
  </si>
  <si>
    <t>REF. SOYABEAN OIL 1 LTR POUCH (1x12)</t>
  </si>
  <si>
    <t>REF. SOYABEAN OIL 500 ML POUCH (1x24)</t>
  </si>
  <si>
    <t>500 ML R/P</t>
  </si>
  <si>
    <t>REF. SOYABEAN OIL 200 ML POUCH (1x60)</t>
  </si>
  <si>
    <t>200 ML R/P</t>
  </si>
  <si>
    <t>REF. SOYABEAN OIL 2 LTR SQ. JAR (1x18)</t>
  </si>
  <si>
    <t>2 LTR SQ</t>
  </si>
  <si>
    <t>REF. SOYABEAN OIL 5 LTR BUCKET</t>
  </si>
  <si>
    <t>REF. SOYABEAN OIL 5 LTR JERRY (1x4)</t>
  </si>
  <si>
    <t>5 LTR JERRY</t>
  </si>
  <si>
    <t>REF. SUNFLOWER OIL 5 LTR JERRY (1x4)</t>
  </si>
  <si>
    <t>FLTR. GROUNDNUT OIL 15 KG SQUARE JAR</t>
  </si>
  <si>
    <t>GNO</t>
  </si>
  <si>
    <t>BP</t>
  </si>
  <si>
    <t>FLTR. GROUNDNUT OIL 15 LTR SQUARE JAR</t>
  </si>
  <si>
    <t>FLTR. GROUNDNUT OIL 5 LTR SQ. JAR (1x4)</t>
  </si>
  <si>
    <t>CP</t>
  </si>
  <si>
    <t>FLTR. GROUNDNUT OIL 5 LTR JERRY (1x4)</t>
  </si>
  <si>
    <t>K.G. MUSTARD OIL 15 LTR TIN</t>
  </si>
  <si>
    <t>KGMO</t>
  </si>
  <si>
    <t>K.G. MUSTARD OIL 15 KG TIN</t>
  </si>
  <si>
    <t>K.G. MUSTARD OIL 5 LTR  JERRY (1x4)</t>
  </si>
  <si>
    <t>K.G. MUSTARD OIL 1 LTR BOTTLE (1x12)</t>
  </si>
  <si>
    <t>1 LTR BOTTLE</t>
  </si>
  <si>
    <t>K.G. MUSTARD OIL 500 ML BOTTLE (1x24)</t>
  </si>
  <si>
    <t>500 ML BOTTLE</t>
  </si>
  <si>
    <t>K.G. MUSTARD OIL 200 ML BOTTLE (1x60)</t>
  </si>
  <si>
    <t>200 ML BOTTLE</t>
  </si>
  <si>
    <t>FLTR. GROUNDNUT OIL 1 LTR POUCH (1x12)</t>
  </si>
  <si>
    <t>REF. SOYABEAN OIL 10 LTR BUCKET</t>
  </si>
  <si>
    <t>10 LTR BKT</t>
  </si>
  <si>
    <t>FLTR. GROUNDNUT OIL 15 LTR TIN</t>
  </si>
  <si>
    <t>FLTR. GROUNDNUT OIL 15 KG TIN</t>
  </si>
  <si>
    <t>REF. SOYABEAN OIL 1 LTR BOTTLE (1x12)</t>
  </si>
  <si>
    <t>REF. SOYABEAN OIL 500 ML BOTTLE (1x24)</t>
  </si>
  <si>
    <t>FLTR. GROUNDNUT OIL 1 LTR BOTTLE (1x12)</t>
  </si>
  <si>
    <t>FLTR. GROUNDNUT OIL 500 ML BOTTLE (1x24)</t>
  </si>
  <si>
    <t>REF. SOYABEAN OIL 956 ML POUCH (1x12)</t>
  </si>
  <si>
    <t>956 ML RP</t>
  </si>
  <si>
    <t>K.G. MUSTARD OIL 15 KG SQUARE JAR</t>
  </si>
  <si>
    <t>REF. SOYABEAN OIL 956 ML BOTTLE (1x12)</t>
  </si>
  <si>
    <t>956 ML BOTTLE</t>
  </si>
  <si>
    <t>REF. SOYABEAN OIL 478 BOTTLE (1x24)</t>
  </si>
  <si>
    <t>478 ML BOTTLE</t>
  </si>
  <si>
    <t>REF. SUNFLOWER OIL 956 ML POUCH (1x12)</t>
  </si>
  <si>
    <t>REF. SUNFLOWER OIL 15 KG SQUARE JAR</t>
  </si>
  <si>
    <t>K.G. MUSTARD OIL 1 LTR POUCH (1x12)</t>
  </si>
  <si>
    <t>REF. SOYABEAN OIL 13 LTR SQUARE JAR</t>
  </si>
  <si>
    <t>13 LTR JAR</t>
  </si>
  <si>
    <t>REF. SOYABEAN OIL 13 KG TIN</t>
  </si>
  <si>
    <t>13 KG TIN</t>
  </si>
  <si>
    <t>REF. SOYABEAN OIL 13 LTR RELISH JAR</t>
  </si>
  <si>
    <t>13 LTR RELISH MJ</t>
  </si>
  <si>
    <t>REF. SUNFLOWER OIL 956 ML POUCH COMBO</t>
  </si>
  <si>
    <t>REF. SOYABEAN OIL 13 KG SQUARE JAR</t>
  </si>
  <si>
    <t>13 KG JAR</t>
  </si>
  <si>
    <t>REF. SOYABEAN OIL 900 ML POUCH (1x15)</t>
  </si>
  <si>
    <t>900 ML RP</t>
  </si>
  <si>
    <t>FLTR. GROUNDNUT OIL 900 ML POUCH (1x15)</t>
  </si>
  <si>
    <t>900 ML R/P</t>
  </si>
  <si>
    <t>REF. SOYABEAN OIL 4.5L SQUARE JAR (1x4)</t>
  </si>
  <si>
    <t>4.5 LTR SQ</t>
  </si>
  <si>
    <t>K.G. MUSTARD OIL 900 ML BOTTLE (1x12)</t>
  </si>
  <si>
    <t>900 ml  BOTTLE</t>
  </si>
  <si>
    <t>FLTR. GROUNDNUT OIL 4.5 LTR JERRY (1x4)</t>
  </si>
  <si>
    <t>4.5 LTR JERRY</t>
  </si>
  <si>
    <t>K.G. MUSTARD OIL 4.5 LTR JERRY (1x4)</t>
  </si>
  <si>
    <t>FLTR. GROUNDNUT OIL 900 ML BOTTLE (1x12)</t>
  </si>
  <si>
    <t>K.G. MUSTARD OIL 450 ML BOTTLE (1x24)</t>
  </si>
  <si>
    <t>450 ML BOTTLE</t>
  </si>
  <si>
    <t>K.G. MUSTARD OIL 180 ML BOTTLE (1x60)</t>
  </si>
  <si>
    <t>REF.SUNFLOWER OIL 900 ML POUCH</t>
  </si>
  <si>
    <t>REF. SOYABEAN OIL 4.5 LTR JERRY (1x4)</t>
  </si>
  <si>
    <t>REF. SOYABEAN OIL 13 KG BUCKET</t>
  </si>
  <si>
    <t>13 KG BKT</t>
  </si>
  <si>
    <t>REF. SOYABEAN OIL 4.5 LTR BUCKET</t>
  </si>
  <si>
    <t>4.5 LTR BKT</t>
  </si>
  <si>
    <t>REF. SOYABEAN OIL 900 ML BOTTLE (1x12)</t>
  </si>
  <si>
    <t>900 ml BOTTLE</t>
  </si>
  <si>
    <t>REF. SOYABEAN OIL 450 ML BOTTLE (1x24)</t>
  </si>
  <si>
    <t>450 ml BOTTLE</t>
  </si>
  <si>
    <t>REF.SUNFLOWER OIL 4.5 LTR JERRY CAN</t>
  </si>
  <si>
    <t>REF. SOYABEAN OIL 800 ML POUCH (1x15)</t>
  </si>
  <si>
    <t>800 ML RP</t>
  </si>
  <si>
    <t>REF. SOYABEAN OIL 13 KG SPOON PROMO JAR</t>
  </si>
  <si>
    <t>13 KG JAR SPOON</t>
  </si>
  <si>
    <t>REF. SOYABEAN OIL 13 LTR SPOON PROMO JAR</t>
  </si>
  <si>
    <t>13 LTR JAR SPOON</t>
  </si>
  <si>
    <t>REF. SOYABEAN OIL 15 LTR SPOON PROMO JAR</t>
  </si>
  <si>
    <t>15 LTR JAR SPOON</t>
  </si>
  <si>
    <t>REF. SOYABEAN OIL 15 KG SPOON PROMO JAR</t>
  </si>
  <si>
    <t>15 KG JAR SPOON</t>
  </si>
  <si>
    <t>K.G. MUSTARD OIL 900 ML POUCH (1x15)</t>
  </si>
  <si>
    <t>REF. SUNFLOWER OIL 13 KG BUCKET</t>
  </si>
  <si>
    <t>REF. SUNFLOWER OIL 13 KG JAR</t>
  </si>
  <si>
    <t>GROUNDNUT OIL 13 KG JAR</t>
  </si>
  <si>
    <t>FLTR. GROUNDNUT OIL 4.5 LTR SQ. JAR (1x4)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</si>
</sst>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abSelected="1" workbookViewId="0">
      <selection activeCell="D3" sqref="D3"/>
    </sheetView>
  </sheetViews>
  <sheetFormatPr defaultColWidth="14.25"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38.25" x14ac:dyDescent="0.25">
      <c r="A2" s="1">
        <v>44001417</v>
      </c>
      <c r="B2" s="2" t="s">
        <v>16</v>
      </c>
      <c r="C2" s="3">
        <v>133.53</v>
      </c>
      <c r="D2" s="4">
        <v>154.36000000000001</v>
      </c>
      <c r="E2" s="5" t="s">
        <v>17</v>
      </c>
      <c r="F2" s="5" t="s">
        <v>18</v>
      </c>
      <c r="G2" s="5">
        <v>14.694000000000001</v>
      </c>
      <c r="H2" s="5">
        <v>13.65</v>
      </c>
      <c r="I2" s="5">
        <v>1101</v>
      </c>
      <c r="J2" s="6">
        <v>2075.85</v>
      </c>
      <c r="K2" s="6">
        <f>J2+4</f>
        <v>2079.85</v>
      </c>
      <c r="L2" s="6">
        <f>J2+12</f>
        <v>2087.85</v>
      </c>
      <c r="M2" s="6">
        <f>J2+8</f>
        <v>2083.85</v>
      </c>
      <c r="N2" s="7" t="s">
        <v>19</v>
      </c>
      <c r="O2" s="8" t="s">
        <v>20</v>
      </c>
      <c r="P2" s="9" t="s">
        <v>21</v>
      </c>
    </row>
    <row r="3" spans="1:16" ht="38.25" x14ac:dyDescent="0.25">
      <c r="A3" s="10">
        <v>44001418</v>
      </c>
      <c r="B3" s="2" t="s">
        <v>22</v>
      </c>
      <c r="C3" s="3">
        <v>133.53</v>
      </c>
      <c r="D3" s="4">
        <v>158.09</v>
      </c>
      <c r="E3" s="5" t="s">
        <v>17</v>
      </c>
      <c r="F3" s="5" t="s">
        <v>18</v>
      </c>
      <c r="G3" s="5">
        <v>16.047000000000001</v>
      </c>
      <c r="H3" s="5">
        <v>15</v>
      </c>
      <c r="I3" s="5">
        <v>1101</v>
      </c>
      <c r="J3" s="6">
        <v>2269.0500000000002</v>
      </c>
      <c r="K3" s="6">
        <f t="shared" ref="K3:K66" si="0">J3+4</f>
        <v>2273.0500000000002</v>
      </c>
      <c r="L3" s="6">
        <f t="shared" ref="L3:L66" si="1">J3+12</f>
        <v>2281.0500000000002</v>
      </c>
      <c r="M3" s="6">
        <f t="shared" ref="M3:M66" si="2">J3+8</f>
        <v>2277.0500000000002</v>
      </c>
      <c r="N3" s="7" t="s">
        <v>19</v>
      </c>
      <c r="O3" s="8" t="s">
        <v>23</v>
      </c>
      <c r="P3" s="9" t="s">
        <v>21</v>
      </c>
    </row>
    <row r="4" spans="1:16" ht="51" x14ac:dyDescent="0.25">
      <c r="A4" s="1">
        <v>44001419</v>
      </c>
      <c r="B4" s="2" t="s">
        <v>24</v>
      </c>
      <c r="C4" s="3">
        <v>133.56</v>
      </c>
      <c r="D4" s="11">
        <v>134.94999999999999</v>
      </c>
      <c r="E4" s="5" t="s">
        <v>17</v>
      </c>
      <c r="F4" s="5" t="s">
        <v>18</v>
      </c>
      <c r="G4" s="5">
        <v>14.29</v>
      </c>
      <c r="H4" s="5">
        <v>13.65</v>
      </c>
      <c r="I4" s="5">
        <v>1101</v>
      </c>
      <c r="J4" s="3">
        <v>2055.9</v>
      </c>
      <c r="K4" s="6">
        <f t="shared" si="0"/>
        <v>2059.9</v>
      </c>
      <c r="L4" s="6">
        <f t="shared" si="1"/>
        <v>2067.9</v>
      </c>
      <c r="M4" s="6">
        <f t="shared" si="2"/>
        <v>2063.9</v>
      </c>
      <c r="N4" s="7" t="s">
        <v>19</v>
      </c>
      <c r="O4" s="12" t="s">
        <v>25</v>
      </c>
      <c r="P4" s="9" t="s">
        <v>21</v>
      </c>
    </row>
    <row r="5" spans="1:16" ht="51" x14ac:dyDescent="0.25">
      <c r="A5" s="10">
        <v>44001420</v>
      </c>
      <c r="B5" s="2" t="s">
        <v>26</v>
      </c>
      <c r="C5" s="3">
        <v>133.51</v>
      </c>
      <c r="D5" s="4">
        <v>144.37</v>
      </c>
      <c r="E5" s="5" t="s">
        <v>17</v>
      </c>
      <c r="F5" s="5" t="s">
        <v>18</v>
      </c>
      <c r="G5" s="5">
        <v>15.69</v>
      </c>
      <c r="H5" s="5">
        <v>15</v>
      </c>
      <c r="I5" s="5">
        <v>1101</v>
      </c>
      <c r="J5" s="6">
        <v>2254.35</v>
      </c>
      <c r="K5" s="6">
        <f t="shared" si="0"/>
        <v>2258.35</v>
      </c>
      <c r="L5" s="6">
        <f t="shared" si="1"/>
        <v>2266.35</v>
      </c>
      <c r="M5" s="6">
        <f t="shared" si="2"/>
        <v>2262.35</v>
      </c>
      <c r="N5" s="7" t="s">
        <v>19</v>
      </c>
      <c r="O5" s="8" t="s">
        <v>27</v>
      </c>
      <c r="P5" s="9" t="s">
        <v>21</v>
      </c>
    </row>
    <row r="6" spans="1:16" ht="38.25" x14ac:dyDescent="0.25">
      <c r="A6" s="10">
        <v>44001438</v>
      </c>
      <c r="B6" s="2" t="s">
        <v>28</v>
      </c>
      <c r="C6" s="3">
        <v>133.55000000000001</v>
      </c>
      <c r="D6" s="4">
        <v>137.02000000000001</v>
      </c>
      <c r="E6" s="5" t="s">
        <v>17</v>
      </c>
      <c r="F6" s="5" t="s">
        <v>18</v>
      </c>
      <c r="G6" s="5">
        <v>14.621</v>
      </c>
      <c r="H6" s="5">
        <v>13.65</v>
      </c>
      <c r="I6" s="5">
        <v>1101</v>
      </c>
      <c r="J6" s="6">
        <v>2058</v>
      </c>
      <c r="K6" s="6">
        <f t="shared" si="0"/>
        <v>2062</v>
      </c>
      <c r="L6" s="6">
        <f t="shared" si="1"/>
        <v>2070</v>
      </c>
      <c r="M6" s="6">
        <f t="shared" si="2"/>
        <v>2066</v>
      </c>
      <c r="N6" s="7" t="s">
        <v>19</v>
      </c>
      <c r="O6" s="8" t="s">
        <v>29</v>
      </c>
      <c r="P6" s="9" t="s">
        <v>21</v>
      </c>
    </row>
    <row r="7" spans="1:16" ht="51" x14ac:dyDescent="0.25">
      <c r="A7" s="10">
        <v>44004990</v>
      </c>
      <c r="B7" s="2" t="s">
        <v>30</v>
      </c>
      <c r="C7" s="3">
        <v>133.55000000000001</v>
      </c>
      <c r="D7" s="4">
        <v>243.36</v>
      </c>
      <c r="E7" s="5" t="s">
        <v>31</v>
      </c>
      <c r="F7" s="5" t="s">
        <v>18</v>
      </c>
      <c r="G7" s="5">
        <v>19.628</v>
      </c>
      <c r="H7" s="5">
        <v>18.2</v>
      </c>
      <c r="I7" s="5">
        <v>1101</v>
      </c>
      <c r="J7" s="6">
        <v>701.93</v>
      </c>
      <c r="K7" s="6">
        <f t="shared" si="0"/>
        <v>705.93</v>
      </c>
      <c r="L7" s="6">
        <f t="shared" si="1"/>
        <v>713.93</v>
      </c>
      <c r="M7" s="6">
        <f t="shared" si="2"/>
        <v>709.93</v>
      </c>
      <c r="N7" s="7" t="s">
        <v>19</v>
      </c>
      <c r="O7" s="8" t="s">
        <v>32</v>
      </c>
      <c r="P7" s="9" t="s">
        <v>33</v>
      </c>
    </row>
    <row r="8" spans="1:16" ht="51" x14ac:dyDescent="0.25">
      <c r="A8" s="10">
        <v>44005057</v>
      </c>
      <c r="B8" s="2" t="s">
        <v>34</v>
      </c>
      <c r="C8" s="3">
        <v>153.07</v>
      </c>
      <c r="D8" s="4">
        <v>95.65</v>
      </c>
      <c r="E8" s="5" t="s">
        <v>17</v>
      </c>
      <c r="F8" s="5" t="s">
        <v>18</v>
      </c>
      <c r="G8" s="5">
        <v>14.292</v>
      </c>
      <c r="H8" s="5">
        <v>13.65</v>
      </c>
      <c r="I8" s="5">
        <v>1101</v>
      </c>
      <c r="J8" s="6">
        <v>2294.25</v>
      </c>
      <c r="K8" s="6">
        <f t="shared" si="0"/>
        <v>2298.25</v>
      </c>
      <c r="L8" s="6">
        <f t="shared" si="1"/>
        <v>2306.25</v>
      </c>
      <c r="M8" s="6">
        <f t="shared" si="2"/>
        <v>2302.25</v>
      </c>
      <c r="N8" s="7" t="s">
        <v>35</v>
      </c>
      <c r="O8" s="12" t="s">
        <v>25</v>
      </c>
      <c r="P8" s="9" t="s">
        <v>21</v>
      </c>
    </row>
    <row r="9" spans="1:16" ht="38.25" x14ac:dyDescent="0.25">
      <c r="A9" s="10">
        <v>44005075</v>
      </c>
      <c r="B9" s="2" t="s">
        <v>36</v>
      </c>
      <c r="C9" s="3">
        <v>153.07</v>
      </c>
      <c r="D9" s="4">
        <v>113.65</v>
      </c>
      <c r="E9" s="5" t="s">
        <v>17</v>
      </c>
      <c r="F9" s="5" t="s">
        <v>18</v>
      </c>
      <c r="G9" s="5">
        <v>14.692</v>
      </c>
      <c r="H9" s="5">
        <v>13.65</v>
      </c>
      <c r="I9" s="5">
        <v>1101</v>
      </c>
      <c r="J9" s="6">
        <v>2313.15</v>
      </c>
      <c r="K9" s="6">
        <f t="shared" si="0"/>
        <v>2317.15</v>
      </c>
      <c r="L9" s="6">
        <f t="shared" si="1"/>
        <v>2325.15</v>
      </c>
      <c r="M9" s="6">
        <f t="shared" si="2"/>
        <v>2321.15</v>
      </c>
      <c r="N9" s="7" t="s">
        <v>35</v>
      </c>
      <c r="O9" s="8" t="s">
        <v>20</v>
      </c>
      <c r="P9" s="9" t="s">
        <v>21</v>
      </c>
    </row>
    <row r="10" spans="1:16" ht="51" x14ac:dyDescent="0.25">
      <c r="A10" s="13">
        <v>44005076</v>
      </c>
      <c r="B10" s="2" t="s">
        <v>37</v>
      </c>
      <c r="C10" s="3">
        <v>153.02000000000001</v>
      </c>
      <c r="D10" s="4">
        <v>188.08</v>
      </c>
      <c r="E10" s="5" t="s">
        <v>31</v>
      </c>
      <c r="F10" s="5" t="s">
        <v>18</v>
      </c>
      <c r="G10" s="5">
        <v>19.628</v>
      </c>
      <c r="H10" s="5">
        <v>18.2</v>
      </c>
      <c r="I10" s="5">
        <v>1101</v>
      </c>
      <c r="J10" s="6">
        <v>780.41</v>
      </c>
      <c r="K10" s="6">
        <f t="shared" si="0"/>
        <v>784.41</v>
      </c>
      <c r="L10" s="6">
        <f t="shared" si="1"/>
        <v>792.41</v>
      </c>
      <c r="M10" s="6">
        <f t="shared" si="2"/>
        <v>788.41</v>
      </c>
      <c r="N10" s="7" t="s">
        <v>35</v>
      </c>
      <c r="O10" s="8" t="s">
        <v>32</v>
      </c>
      <c r="P10" s="9" t="s">
        <v>33</v>
      </c>
    </row>
    <row r="11" spans="1:16" ht="51" x14ac:dyDescent="0.25">
      <c r="A11" s="13">
        <v>44005077</v>
      </c>
      <c r="B11" s="2" t="s">
        <v>38</v>
      </c>
      <c r="C11" s="3">
        <v>153.06</v>
      </c>
      <c r="D11" s="4">
        <v>110.73</v>
      </c>
      <c r="E11" s="5" t="s">
        <v>17</v>
      </c>
      <c r="F11" s="5" t="s">
        <v>18</v>
      </c>
      <c r="G11" s="5">
        <v>14.621</v>
      </c>
      <c r="H11" s="5">
        <v>13.65</v>
      </c>
      <c r="I11" s="5">
        <v>1101</v>
      </c>
      <c r="J11" s="6">
        <v>2310</v>
      </c>
      <c r="K11" s="6">
        <f t="shared" si="0"/>
        <v>2314</v>
      </c>
      <c r="L11" s="6">
        <f t="shared" si="1"/>
        <v>2322</v>
      </c>
      <c r="M11" s="6">
        <f t="shared" si="2"/>
        <v>2318</v>
      </c>
      <c r="N11" s="7" t="s">
        <v>35</v>
      </c>
      <c r="O11" s="8" t="s">
        <v>29</v>
      </c>
      <c r="P11" s="9" t="s">
        <v>21</v>
      </c>
    </row>
    <row r="12" spans="1:16" ht="51" x14ac:dyDescent="0.25">
      <c r="A12" s="10">
        <v>44005144</v>
      </c>
      <c r="B12" s="2" t="s">
        <v>39</v>
      </c>
      <c r="C12" s="3">
        <v>153.22999999999999</v>
      </c>
      <c r="D12" s="4">
        <v>48.72</v>
      </c>
      <c r="E12" s="5" t="s">
        <v>31</v>
      </c>
      <c r="F12" s="5" t="s">
        <v>18</v>
      </c>
      <c r="G12" s="5">
        <v>11.5</v>
      </c>
      <c r="H12" s="5">
        <v>10.92</v>
      </c>
      <c r="I12" s="5">
        <v>1101</v>
      </c>
      <c r="J12" s="6">
        <v>150.68</v>
      </c>
      <c r="K12" s="6">
        <f t="shared" si="0"/>
        <v>154.68</v>
      </c>
      <c r="L12" s="6">
        <f t="shared" si="1"/>
        <v>162.68</v>
      </c>
      <c r="M12" s="6">
        <f t="shared" si="2"/>
        <v>158.68</v>
      </c>
      <c r="N12" s="7" t="s">
        <v>35</v>
      </c>
      <c r="O12" s="8" t="s">
        <v>40</v>
      </c>
      <c r="P12" s="9" t="s">
        <v>33</v>
      </c>
    </row>
    <row r="13" spans="1:16" ht="38.25" x14ac:dyDescent="0.25">
      <c r="A13" s="10">
        <v>44006026</v>
      </c>
      <c r="B13" s="2" t="s">
        <v>41</v>
      </c>
      <c r="C13" s="3">
        <v>133.55000000000001</v>
      </c>
      <c r="D13" s="4">
        <v>138.03</v>
      </c>
      <c r="E13" s="5" t="s">
        <v>17</v>
      </c>
      <c r="F13" s="5" t="s">
        <v>18</v>
      </c>
      <c r="G13" s="5">
        <v>14.34</v>
      </c>
      <c r="H13" s="5">
        <v>13.65</v>
      </c>
      <c r="I13" s="5">
        <v>1101</v>
      </c>
      <c r="J13" s="6">
        <v>2059.0500000000002</v>
      </c>
      <c r="K13" s="6">
        <f t="shared" si="0"/>
        <v>2063.0500000000002</v>
      </c>
      <c r="L13" s="6">
        <f t="shared" si="1"/>
        <v>2071.0500000000002</v>
      </c>
      <c r="M13" s="6">
        <f t="shared" si="2"/>
        <v>2067.0500000000002</v>
      </c>
      <c r="N13" s="7" t="s">
        <v>19</v>
      </c>
      <c r="O13" s="8" t="s">
        <v>42</v>
      </c>
      <c r="P13" s="9" t="s">
        <v>21</v>
      </c>
    </row>
    <row r="14" spans="1:16" ht="38.25" x14ac:dyDescent="0.25">
      <c r="A14" s="10">
        <v>44006027</v>
      </c>
      <c r="B14" s="2" t="s">
        <v>43</v>
      </c>
      <c r="C14" s="3">
        <v>133.56</v>
      </c>
      <c r="D14" s="4">
        <v>143.61000000000001</v>
      </c>
      <c r="E14" s="5" t="s">
        <v>17</v>
      </c>
      <c r="F14" s="5" t="s">
        <v>18</v>
      </c>
      <c r="G14" s="5">
        <v>15.74</v>
      </c>
      <c r="H14" s="5">
        <v>15</v>
      </c>
      <c r="I14" s="5">
        <v>1101</v>
      </c>
      <c r="J14" s="6">
        <v>2254.35</v>
      </c>
      <c r="K14" s="6">
        <f t="shared" si="0"/>
        <v>2258.35</v>
      </c>
      <c r="L14" s="6">
        <f t="shared" si="1"/>
        <v>2266.35</v>
      </c>
      <c r="M14" s="6">
        <f t="shared" si="2"/>
        <v>2262.35</v>
      </c>
      <c r="N14" s="7" t="s">
        <v>19</v>
      </c>
      <c r="O14" s="8" t="s">
        <v>44</v>
      </c>
      <c r="P14" s="9" t="s">
        <v>21</v>
      </c>
    </row>
    <row r="15" spans="1:16" ht="51" x14ac:dyDescent="0.25">
      <c r="A15" s="10">
        <v>44006028</v>
      </c>
      <c r="B15" s="2" t="s">
        <v>45</v>
      </c>
      <c r="C15" s="3">
        <v>153.05000000000001</v>
      </c>
      <c r="D15" s="4">
        <v>101.84</v>
      </c>
      <c r="E15" s="5" t="s">
        <v>17</v>
      </c>
      <c r="F15" s="5" t="s">
        <v>18</v>
      </c>
      <c r="G15" s="5">
        <v>14.34</v>
      </c>
      <c r="H15" s="5">
        <v>13.65</v>
      </c>
      <c r="I15" s="5">
        <v>1101</v>
      </c>
      <c r="J15" s="6">
        <v>2300.5500000000002</v>
      </c>
      <c r="K15" s="6">
        <f t="shared" si="0"/>
        <v>2304.5500000000002</v>
      </c>
      <c r="L15" s="6">
        <f t="shared" si="1"/>
        <v>2312.5500000000002</v>
      </c>
      <c r="M15" s="6">
        <f t="shared" si="2"/>
        <v>2308.5500000000002</v>
      </c>
      <c r="N15" s="7" t="s">
        <v>35</v>
      </c>
      <c r="O15" s="8" t="s">
        <v>42</v>
      </c>
      <c r="P15" s="9" t="s">
        <v>21</v>
      </c>
    </row>
    <row r="16" spans="1:16" ht="51" x14ac:dyDescent="0.25">
      <c r="A16" s="10">
        <v>44006029</v>
      </c>
      <c r="B16" s="2" t="s">
        <v>46</v>
      </c>
      <c r="C16" s="3">
        <v>153.04</v>
      </c>
      <c r="D16" s="4">
        <v>55.67</v>
      </c>
      <c r="E16" s="5" t="s">
        <v>17</v>
      </c>
      <c r="F16" s="5" t="s">
        <v>18</v>
      </c>
      <c r="G16" s="5">
        <v>4.82</v>
      </c>
      <c r="H16" s="5">
        <v>4.55</v>
      </c>
      <c r="I16" s="5">
        <v>1101</v>
      </c>
      <c r="J16" s="6">
        <v>789.6</v>
      </c>
      <c r="K16" s="6">
        <f t="shared" si="0"/>
        <v>793.6</v>
      </c>
      <c r="L16" s="6">
        <f t="shared" si="1"/>
        <v>801.6</v>
      </c>
      <c r="M16" s="6">
        <f t="shared" si="2"/>
        <v>797.6</v>
      </c>
      <c r="N16" s="7" t="s">
        <v>35</v>
      </c>
      <c r="O16" s="8" t="s">
        <v>47</v>
      </c>
      <c r="P16" s="9" t="s">
        <v>33</v>
      </c>
    </row>
    <row r="17" spans="1:16" ht="51" x14ac:dyDescent="0.25">
      <c r="A17" s="10">
        <v>44006211</v>
      </c>
      <c r="B17" s="2" t="s">
        <v>48</v>
      </c>
      <c r="C17" s="3">
        <v>133.76</v>
      </c>
      <c r="D17" s="4">
        <v>81.36</v>
      </c>
      <c r="E17" s="5" t="s">
        <v>31</v>
      </c>
      <c r="F17" s="5" t="s">
        <v>18</v>
      </c>
      <c r="G17" s="5">
        <v>11.45</v>
      </c>
      <c r="H17" s="5">
        <v>10.92</v>
      </c>
      <c r="I17" s="5">
        <v>1101</v>
      </c>
      <c r="J17" s="14">
        <v>134.93</v>
      </c>
      <c r="K17" s="6">
        <f t="shared" si="0"/>
        <v>138.93</v>
      </c>
      <c r="L17" s="6">
        <f t="shared" si="1"/>
        <v>146.93</v>
      </c>
      <c r="M17" s="6">
        <f t="shared" si="2"/>
        <v>142.93</v>
      </c>
      <c r="N17" s="7" t="s">
        <v>19</v>
      </c>
      <c r="O17" s="8" t="s">
        <v>40</v>
      </c>
      <c r="P17" s="9" t="s">
        <v>33</v>
      </c>
    </row>
    <row r="18" spans="1:16" ht="51" x14ac:dyDescent="0.25">
      <c r="A18" s="10">
        <v>44006212</v>
      </c>
      <c r="B18" s="2" t="s">
        <v>49</v>
      </c>
      <c r="C18" s="3">
        <v>133.71</v>
      </c>
      <c r="D18" s="4">
        <v>99.84</v>
      </c>
      <c r="E18" s="5" t="s">
        <v>31</v>
      </c>
      <c r="F18" s="5" t="s">
        <v>18</v>
      </c>
      <c r="G18" s="5">
        <v>11.564</v>
      </c>
      <c r="H18" s="5">
        <v>10.92</v>
      </c>
      <c r="I18" s="5">
        <v>1101</v>
      </c>
      <c r="J18" s="6">
        <v>68.25</v>
      </c>
      <c r="K18" s="6">
        <f t="shared" si="0"/>
        <v>72.25</v>
      </c>
      <c r="L18" s="6">
        <f t="shared" si="1"/>
        <v>80.25</v>
      </c>
      <c r="M18" s="6">
        <f t="shared" si="2"/>
        <v>76.25</v>
      </c>
      <c r="N18" s="7" t="s">
        <v>19</v>
      </c>
      <c r="O18" s="8" t="s">
        <v>50</v>
      </c>
      <c r="P18" s="9" t="s">
        <v>33</v>
      </c>
    </row>
    <row r="19" spans="1:16" ht="51" x14ac:dyDescent="0.25">
      <c r="A19" s="10">
        <v>44006213</v>
      </c>
      <c r="B19" s="2" t="s">
        <v>51</v>
      </c>
      <c r="C19" s="3">
        <v>133.85</v>
      </c>
      <c r="D19" s="4">
        <v>158.4</v>
      </c>
      <c r="E19" s="5" t="s">
        <v>31</v>
      </c>
      <c r="F19" s="5" t="s">
        <v>18</v>
      </c>
      <c r="G19" s="5">
        <v>11.1</v>
      </c>
      <c r="H19" s="5">
        <v>10.92</v>
      </c>
      <c r="I19" s="5">
        <v>1101</v>
      </c>
      <c r="J19" s="6">
        <v>28.35</v>
      </c>
      <c r="K19" s="6">
        <f t="shared" si="0"/>
        <v>32.35</v>
      </c>
      <c r="L19" s="6">
        <f t="shared" si="1"/>
        <v>40.35</v>
      </c>
      <c r="M19" s="6">
        <f t="shared" si="2"/>
        <v>36.35</v>
      </c>
      <c r="N19" s="7" t="s">
        <v>19</v>
      </c>
      <c r="O19" s="8" t="s">
        <v>52</v>
      </c>
      <c r="P19" s="9" t="s">
        <v>33</v>
      </c>
    </row>
    <row r="20" spans="1:16" ht="51" x14ac:dyDescent="0.25">
      <c r="A20" s="10">
        <v>44006214</v>
      </c>
      <c r="B20" s="2" t="s">
        <v>53</v>
      </c>
      <c r="C20" s="3">
        <v>133.51</v>
      </c>
      <c r="D20" s="4">
        <v>268.08</v>
      </c>
      <c r="E20" s="5" t="s">
        <v>31</v>
      </c>
      <c r="F20" s="5" t="s">
        <v>18</v>
      </c>
      <c r="G20" s="5">
        <v>16.260000000000002</v>
      </c>
      <c r="H20" s="5">
        <v>14.56</v>
      </c>
      <c r="I20" s="5">
        <v>1101</v>
      </c>
      <c r="J20" s="6">
        <v>290.33</v>
      </c>
      <c r="K20" s="6">
        <f t="shared" si="0"/>
        <v>294.33</v>
      </c>
      <c r="L20" s="6">
        <f t="shared" si="1"/>
        <v>302.33</v>
      </c>
      <c r="M20" s="6">
        <f t="shared" si="2"/>
        <v>298.33</v>
      </c>
      <c r="N20" s="7" t="s">
        <v>19</v>
      </c>
      <c r="O20" s="8" t="s">
        <v>54</v>
      </c>
      <c r="P20" s="9" t="s">
        <v>33</v>
      </c>
    </row>
    <row r="21" spans="1:16" ht="38.25" x14ac:dyDescent="0.25">
      <c r="A21" s="10">
        <v>44006215</v>
      </c>
      <c r="B21" s="2" t="s">
        <v>55</v>
      </c>
      <c r="C21" s="3">
        <v>133.52000000000001</v>
      </c>
      <c r="D21" s="4">
        <v>63.98</v>
      </c>
      <c r="E21" s="5" t="s">
        <v>17</v>
      </c>
      <c r="F21" s="5" t="s">
        <v>18</v>
      </c>
      <c r="G21" s="5">
        <v>4.8220000000000001</v>
      </c>
      <c r="H21" s="5">
        <v>4.55</v>
      </c>
      <c r="I21" s="5">
        <v>1101</v>
      </c>
      <c r="J21" s="6">
        <v>705.08</v>
      </c>
      <c r="K21" s="6">
        <f t="shared" si="0"/>
        <v>709.08</v>
      </c>
      <c r="L21" s="6">
        <f t="shared" si="1"/>
        <v>717.08</v>
      </c>
      <c r="M21" s="6">
        <f t="shared" si="2"/>
        <v>713.08</v>
      </c>
      <c r="N21" s="7" t="s">
        <v>19</v>
      </c>
      <c r="O21" s="8" t="s">
        <v>47</v>
      </c>
      <c r="P21" s="9" t="s">
        <v>33</v>
      </c>
    </row>
    <row r="22" spans="1:16" ht="51" x14ac:dyDescent="0.25">
      <c r="A22" s="10">
        <v>44006326</v>
      </c>
      <c r="B22" s="2" t="s">
        <v>56</v>
      </c>
      <c r="C22" s="3">
        <v>133.53</v>
      </c>
      <c r="D22" s="4">
        <v>234.69</v>
      </c>
      <c r="E22" s="5" t="s">
        <v>31</v>
      </c>
      <c r="F22" s="5" t="s">
        <v>18</v>
      </c>
      <c r="G22" s="5">
        <v>19.713000000000001</v>
      </c>
      <c r="H22" s="5">
        <v>18.2</v>
      </c>
      <c r="I22" s="5">
        <v>1101</v>
      </c>
      <c r="J22" s="6">
        <v>699.56</v>
      </c>
      <c r="K22" s="6">
        <f t="shared" si="0"/>
        <v>703.56</v>
      </c>
      <c r="L22" s="6">
        <f t="shared" si="1"/>
        <v>711.56</v>
      </c>
      <c r="M22" s="6">
        <f t="shared" si="2"/>
        <v>707.56</v>
      </c>
      <c r="N22" s="7" t="s">
        <v>19</v>
      </c>
      <c r="O22" s="8" t="s">
        <v>57</v>
      </c>
      <c r="P22" s="9" t="s">
        <v>33</v>
      </c>
    </row>
    <row r="23" spans="1:16" ht="51" x14ac:dyDescent="0.25">
      <c r="A23" s="10">
        <v>44006533</v>
      </c>
      <c r="B23" s="2" t="s">
        <v>58</v>
      </c>
      <c r="C23" s="3">
        <v>153.05000000000001</v>
      </c>
      <c r="D23" s="4">
        <v>174.45</v>
      </c>
      <c r="E23" s="5" t="s">
        <v>31</v>
      </c>
      <c r="F23" s="5" t="s">
        <v>18</v>
      </c>
      <c r="G23" s="5">
        <v>19.713000000000001</v>
      </c>
      <c r="H23" s="5">
        <v>18.2</v>
      </c>
      <c r="I23" s="5">
        <v>1101</v>
      </c>
      <c r="J23" s="6">
        <v>777</v>
      </c>
      <c r="K23" s="6">
        <f t="shared" si="0"/>
        <v>781</v>
      </c>
      <c r="L23" s="6">
        <f t="shared" si="1"/>
        <v>789</v>
      </c>
      <c r="M23" s="6">
        <f t="shared" si="2"/>
        <v>785</v>
      </c>
      <c r="N23" s="7" t="s">
        <v>35</v>
      </c>
      <c r="O23" s="8" t="s">
        <v>57</v>
      </c>
      <c r="P23" s="9" t="s">
        <v>33</v>
      </c>
    </row>
    <row r="24" spans="1:16" ht="51" x14ac:dyDescent="0.25">
      <c r="A24" s="10">
        <v>44006978</v>
      </c>
      <c r="B24" s="2" t="s">
        <v>59</v>
      </c>
      <c r="C24" s="3">
        <v>145.02000000000001</v>
      </c>
      <c r="D24" s="4">
        <v>101.69</v>
      </c>
      <c r="E24" s="5" t="s">
        <v>17</v>
      </c>
      <c r="F24" s="5" t="s">
        <v>18</v>
      </c>
      <c r="G24" s="5">
        <v>15.69</v>
      </c>
      <c r="H24" s="5">
        <v>15</v>
      </c>
      <c r="I24" s="5">
        <v>1101</v>
      </c>
      <c r="J24" s="6">
        <v>2390.85</v>
      </c>
      <c r="K24" s="6">
        <f t="shared" si="0"/>
        <v>2394.85</v>
      </c>
      <c r="L24" s="6">
        <f t="shared" si="1"/>
        <v>2402.85</v>
      </c>
      <c r="M24" s="6">
        <f t="shared" si="2"/>
        <v>2398.85</v>
      </c>
      <c r="N24" s="7" t="s">
        <v>60</v>
      </c>
      <c r="O24" s="8" t="s">
        <v>27</v>
      </c>
      <c r="P24" s="9" t="s">
        <v>61</v>
      </c>
    </row>
    <row r="25" spans="1:16" ht="51" x14ac:dyDescent="0.25">
      <c r="A25" s="10">
        <v>44006979</v>
      </c>
      <c r="B25" s="2" t="s">
        <v>62</v>
      </c>
      <c r="C25" s="3">
        <v>145.01</v>
      </c>
      <c r="D25" s="4">
        <v>95.65</v>
      </c>
      <c r="E25" s="5" t="s">
        <v>17</v>
      </c>
      <c r="F25" s="5" t="s">
        <v>18</v>
      </c>
      <c r="G25" s="5">
        <v>14.292</v>
      </c>
      <c r="H25" s="5">
        <v>13.65</v>
      </c>
      <c r="I25" s="5">
        <v>1101</v>
      </c>
      <c r="J25" s="6">
        <v>2178.75</v>
      </c>
      <c r="K25" s="6">
        <f t="shared" si="0"/>
        <v>2182.75</v>
      </c>
      <c r="L25" s="6">
        <f t="shared" si="1"/>
        <v>2190.75</v>
      </c>
      <c r="M25" s="6">
        <f t="shared" si="2"/>
        <v>2186.75</v>
      </c>
      <c r="N25" s="7" t="s">
        <v>60</v>
      </c>
      <c r="O25" s="12" t="s">
        <v>25</v>
      </c>
      <c r="P25" s="9" t="s">
        <v>61</v>
      </c>
    </row>
    <row r="26" spans="1:16" ht="51" x14ac:dyDescent="0.25">
      <c r="A26" s="10">
        <v>44006982</v>
      </c>
      <c r="B26" s="2" t="s">
        <v>63</v>
      </c>
      <c r="C26" s="3">
        <v>145.05000000000001</v>
      </c>
      <c r="D26" s="4">
        <v>188.08</v>
      </c>
      <c r="E26" s="5" t="s">
        <v>31</v>
      </c>
      <c r="F26" s="5" t="s">
        <v>18</v>
      </c>
      <c r="G26" s="5">
        <v>19.628</v>
      </c>
      <c r="H26" s="5">
        <v>18.2</v>
      </c>
      <c r="I26" s="5">
        <v>1101</v>
      </c>
      <c r="J26" s="6">
        <v>742.35</v>
      </c>
      <c r="K26" s="6">
        <f t="shared" si="0"/>
        <v>746.35</v>
      </c>
      <c r="L26" s="6">
        <f t="shared" si="1"/>
        <v>754.35</v>
      </c>
      <c r="M26" s="6">
        <f t="shared" si="2"/>
        <v>750.35</v>
      </c>
      <c r="N26" s="7" t="s">
        <v>60</v>
      </c>
      <c r="O26" s="8" t="s">
        <v>32</v>
      </c>
      <c r="P26" s="9" t="s">
        <v>64</v>
      </c>
    </row>
    <row r="27" spans="1:16" ht="51" x14ac:dyDescent="0.25">
      <c r="A27" s="10">
        <v>44006983</v>
      </c>
      <c r="B27" s="2" t="s">
        <v>65</v>
      </c>
      <c r="C27" s="3">
        <v>145.03</v>
      </c>
      <c r="D27" s="4">
        <v>174.45</v>
      </c>
      <c r="E27" s="5" t="s">
        <v>31</v>
      </c>
      <c r="F27" s="5" t="s">
        <v>18</v>
      </c>
      <c r="G27" s="5">
        <v>19.713000000000001</v>
      </c>
      <c r="H27" s="5">
        <v>18.2</v>
      </c>
      <c r="I27" s="5">
        <v>1101</v>
      </c>
      <c r="J27" s="6">
        <v>738.68</v>
      </c>
      <c r="K27" s="6">
        <f t="shared" si="0"/>
        <v>742.68</v>
      </c>
      <c r="L27" s="6">
        <f t="shared" si="1"/>
        <v>750.68</v>
      </c>
      <c r="M27" s="6">
        <f t="shared" si="2"/>
        <v>746.68</v>
      </c>
      <c r="N27" s="7" t="s">
        <v>60</v>
      </c>
      <c r="O27" s="8" t="s">
        <v>57</v>
      </c>
      <c r="P27" s="9" t="s">
        <v>64</v>
      </c>
    </row>
    <row r="28" spans="1:16" ht="25.5" x14ac:dyDescent="0.25">
      <c r="A28" s="10">
        <v>44007061</v>
      </c>
      <c r="B28" s="2" t="s">
        <v>66</v>
      </c>
      <c r="C28" s="3">
        <v>157.53</v>
      </c>
      <c r="D28" s="4">
        <v>113.65</v>
      </c>
      <c r="E28" s="5" t="s">
        <v>17</v>
      </c>
      <c r="F28" s="5" t="s">
        <v>18</v>
      </c>
      <c r="G28" s="5">
        <v>14.694000000000001</v>
      </c>
      <c r="H28" s="5">
        <v>13.65</v>
      </c>
      <c r="I28" s="5">
        <v>1101</v>
      </c>
      <c r="J28" s="5">
        <v>2377.1999999999998</v>
      </c>
      <c r="K28" s="6">
        <f t="shared" si="0"/>
        <v>2381.1999999999998</v>
      </c>
      <c r="L28" s="6">
        <f t="shared" si="1"/>
        <v>2389.1999999999998</v>
      </c>
      <c r="M28" s="6">
        <f t="shared" si="2"/>
        <v>2385.1999999999998</v>
      </c>
      <c r="N28" s="7" t="s">
        <v>67</v>
      </c>
      <c r="O28" s="8" t="s">
        <v>20</v>
      </c>
      <c r="P28" s="9" t="s">
        <v>61</v>
      </c>
    </row>
    <row r="29" spans="1:16" ht="25.5" x14ac:dyDescent="0.25">
      <c r="A29" s="10">
        <v>44007062</v>
      </c>
      <c r="B29" s="2" t="s">
        <v>68</v>
      </c>
      <c r="C29" s="6">
        <v>157.56</v>
      </c>
      <c r="D29" s="11">
        <v>113.65</v>
      </c>
      <c r="E29" s="5" t="s">
        <v>17</v>
      </c>
      <c r="F29" s="5" t="s">
        <v>18</v>
      </c>
      <c r="G29" s="5">
        <v>16.047000000000001</v>
      </c>
      <c r="H29" s="5">
        <v>15</v>
      </c>
      <c r="I29" s="5">
        <v>1101</v>
      </c>
      <c r="J29" s="15">
        <v>2600.85</v>
      </c>
      <c r="K29" s="6">
        <f t="shared" si="0"/>
        <v>2604.85</v>
      </c>
      <c r="L29" s="6">
        <f t="shared" si="1"/>
        <v>2612.85</v>
      </c>
      <c r="M29" s="6">
        <f t="shared" si="2"/>
        <v>2608.85</v>
      </c>
      <c r="N29" s="7" t="s">
        <v>67</v>
      </c>
      <c r="O29" s="8" t="s">
        <v>23</v>
      </c>
      <c r="P29" s="9" t="s">
        <v>61</v>
      </c>
    </row>
    <row r="30" spans="1:16" ht="38.25" x14ac:dyDescent="0.25">
      <c r="A30" s="10">
        <v>44007064</v>
      </c>
      <c r="B30" s="2" t="s">
        <v>69</v>
      </c>
      <c r="C30" s="6">
        <v>157.5</v>
      </c>
      <c r="D30" s="4">
        <v>174.45</v>
      </c>
      <c r="E30" s="5" t="s">
        <v>31</v>
      </c>
      <c r="F30" s="5" t="s">
        <v>18</v>
      </c>
      <c r="G30" s="5">
        <v>19.713000000000001</v>
      </c>
      <c r="H30" s="5">
        <v>18.2</v>
      </c>
      <c r="I30" s="5">
        <v>1101</v>
      </c>
      <c r="J30" s="6">
        <v>798.26</v>
      </c>
      <c r="K30" s="6">
        <f t="shared" si="0"/>
        <v>802.26</v>
      </c>
      <c r="L30" s="6">
        <f t="shared" si="1"/>
        <v>810.26</v>
      </c>
      <c r="M30" s="6">
        <f t="shared" si="2"/>
        <v>806.26</v>
      </c>
      <c r="N30" s="7" t="s">
        <v>67</v>
      </c>
      <c r="O30" s="8" t="s">
        <v>57</v>
      </c>
      <c r="P30" s="9" t="s">
        <v>64</v>
      </c>
    </row>
    <row r="31" spans="1:16" ht="38.25" x14ac:dyDescent="0.25">
      <c r="A31" s="10">
        <v>44007066</v>
      </c>
      <c r="B31" s="2" t="s">
        <v>70</v>
      </c>
      <c r="C31" s="6">
        <v>157.87</v>
      </c>
      <c r="D31" s="4">
        <v>101.28</v>
      </c>
      <c r="E31" s="5" t="s">
        <v>31</v>
      </c>
      <c r="F31" s="5" t="s">
        <v>18</v>
      </c>
      <c r="G31" s="5">
        <v>11.657999999999999</v>
      </c>
      <c r="H31" s="5">
        <v>10.92</v>
      </c>
      <c r="I31" s="5">
        <v>1101</v>
      </c>
      <c r="J31" s="6">
        <v>159.71</v>
      </c>
      <c r="K31" s="6">
        <f t="shared" si="0"/>
        <v>163.71</v>
      </c>
      <c r="L31" s="6">
        <f t="shared" si="1"/>
        <v>171.71</v>
      </c>
      <c r="M31" s="6">
        <f t="shared" si="2"/>
        <v>167.71</v>
      </c>
      <c r="N31" s="7" t="s">
        <v>67</v>
      </c>
      <c r="O31" s="8" t="s">
        <v>71</v>
      </c>
      <c r="P31" s="9" t="s">
        <v>64</v>
      </c>
    </row>
    <row r="32" spans="1:16" ht="38.25" x14ac:dyDescent="0.25">
      <c r="A32" s="10">
        <v>44007068</v>
      </c>
      <c r="B32" s="2" t="s">
        <v>72</v>
      </c>
      <c r="C32" s="6">
        <v>158.94999999999999</v>
      </c>
      <c r="D32" s="4">
        <v>136.51</v>
      </c>
      <c r="E32" s="5" t="s">
        <v>31</v>
      </c>
      <c r="F32" s="5" t="s">
        <v>18</v>
      </c>
      <c r="G32" s="5">
        <v>11.766</v>
      </c>
      <c r="H32" s="5">
        <v>10.92</v>
      </c>
      <c r="I32" s="5">
        <v>1101</v>
      </c>
      <c r="J32" s="6">
        <v>81.91</v>
      </c>
      <c r="K32" s="6">
        <f t="shared" si="0"/>
        <v>85.91</v>
      </c>
      <c r="L32" s="6">
        <f t="shared" si="1"/>
        <v>93.91</v>
      </c>
      <c r="M32" s="6">
        <f t="shared" si="2"/>
        <v>89.91</v>
      </c>
      <c r="N32" s="7" t="s">
        <v>67</v>
      </c>
      <c r="O32" s="8" t="s">
        <v>73</v>
      </c>
      <c r="P32" s="9" t="s">
        <v>64</v>
      </c>
    </row>
    <row r="33" spans="1:16" ht="38.25" x14ac:dyDescent="0.25">
      <c r="A33" s="10">
        <v>44007070</v>
      </c>
      <c r="B33" s="2" t="s">
        <v>74</v>
      </c>
      <c r="C33" s="6">
        <v>162.47</v>
      </c>
      <c r="D33" s="4">
        <v>233.4</v>
      </c>
      <c r="E33" s="5" t="s">
        <v>31</v>
      </c>
      <c r="F33" s="5" t="s">
        <v>18</v>
      </c>
      <c r="G33" s="5">
        <v>12.076000000000001</v>
      </c>
      <c r="H33" s="5">
        <v>10.92</v>
      </c>
      <c r="I33" s="5">
        <v>1101</v>
      </c>
      <c r="J33" s="6">
        <v>35.130000000000003</v>
      </c>
      <c r="K33" s="6">
        <f t="shared" si="0"/>
        <v>39.130000000000003</v>
      </c>
      <c r="L33" s="6">
        <f t="shared" si="1"/>
        <v>47.13</v>
      </c>
      <c r="M33" s="6">
        <f t="shared" si="2"/>
        <v>43.13</v>
      </c>
      <c r="N33" s="7" t="s">
        <v>67</v>
      </c>
      <c r="O33" s="8" t="s">
        <v>75</v>
      </c>
      <c r="P33" s="9" t="s">
        <v>64</v>
      </c>
    </row>
    <row r="34" spans="1:16" ht="51" x14ac:dyDescent="0.25">
      <c r="A34" s="10">
        <v>44007106</v>
      </c>
      <c r="B34" s="2" t="s">
        <v>76</v>
      </c>
      <c r="C34" s="6">
        <v>145.26</v>
      </c>
      <c r="D34" s="11">
        <v>48.72</v>
      </c>
      <c r="E34" s="5" t="s">
        <v>31</v>
      </c>
      <c r="F34" s="5" t="s">
        <v>18</v>
      </c>
      <c r="G34" s="5">
        <v>11.364000000000001</v>
      </c>
      <c r="H34" s="5">
        <v>10.92</v>
      </c>
      <c r="I34" s="5">
        <v>1101</v>
      </c>
      <c r="J34" s="14">
        <v>143.06</v>
      </c>
      <c r="K34" s="6">
        <f t="shared" si="0"/>
        <v>147.06</v>
      </c>
      <c r="L34" s="6">
        <f t="shared" si="1"/>
        <v>155.06</v>
      </c>
      <c r="M34" s="6">
        <f t="shared" si="2"/>
        <v>151.06</v>
      </c>
      <c r="N34" s="16" t="s">
        <v>60</v>
      </c>
      <c r="O34" s="8" t="s">
        <v>40</v>
      </c>
      <c r="P34" s="9" t="s">
        <v>64</v>
      </c>
    </row>
    <row r="35" spans="1:16" ht="38.25" x14ac:dyDescent="0.25">
      <c r="A35" s="10">
        <v>44007134</v>
      </c>
      <c r="B35" s="2" t="s">
        <v>77</v>
      </c>
      <c r="C35" s="6">
        <v>133.53</v>
      </c>
      <c r="D35" s="11">
        <v>125.92</v>
      </c>
      <c r="E35" s="5" t="s">
        <v>17</v>
      </c>
      <c r="F35" s="5" t="s">
        <v>18</v>
      </c>
      <c r="G35" s="5">
        <v>9.5920000000000005</v>
      </c>
      <c r="H35" s="5">
        <v>9.1</v>
      </c>
      <c r="I35" s="5">
        <v>1101</v>
      </c>
      <c r="J35" s="3">
        <v>1408.05</v>
      </c>
      <c r="K35" s="6">
        <f t="shared" si="0"/>
        <v>1412.05</v>
      </c>
      <c r="L35" s="6">
        <f t="shared" si="1"/>
        <v>1420.05</v>
      </c>
      <c r="M35" s="6">
        <f t="shared" si="2"/>
        <v>1416.05</v>
      </c>
      <c r="N35" s="7" t="s">
        <v>19</v>
      </c>
      <c r="O35" s="8" t="s">
        <v>78</v>
      </c>
      <c r="P35" s="9" t="s">
        <v>21</v>
      </c>
    </row>
    <row r="36" spans="1:16" ht="38.25" x14ac:dyDescent="0.25">
      <c r="A36" s="10">
        <v>44007152</v>
      </c>
      <c r="B36" s="2" t="s">
        <v>79</v>
      </c>
      <c r="C36" s="6">
        <v>145.01</v>
      </c>
      <c r="D36" s="11">
        <v>113.65</v>
      </c>
      <c r="E36" s="5" t="s">
        <v>17</v>
      </c>
      <c r="F36" s="5" t="s">
        <v>18</v>
      </c>
      <c r="G36" s="5">
        <v>14.694000000000001</v>
      </c>
      <c r="H36" s="5">
        <v>13.65</v>
      </c>
      <c r="I36" s="5">
        <v>1101</v>
      </c>
      <c r="J36" s="15">
        <v>2197.65</v>
      </c>
      <c r="K36" s="6">
        <f t="shared" si="0"/>
        <v>2201.65</v>
      </c>
      <c r="L36" s="6">
        <f t="shared" si="1"/>
        <v>2209.65</v>
      </c>
      <c r="M36" s="6">
        <f t="shared" si="2"/>
        <v>2205.65</v>
      </c>
      <c r="N36" s="16" t="s">
        <v>60</v>
      </c>
      <c r="O36" s="8" t="s">
        <v>20</v>
      </c>
      <c r="P36" s="9" t="s">
        <v>61</v>
      </c>
    </row>
    <row r="37" spans="1:16" ht="38.25" x14ac:dyDescent="0.25">
      <c r="A37" s="10">
        <v>44007153</v>
      </c>
      <c r="B37" s="2" t="s">
        <v>80</v>
      </c>
      <c r="C37" s="6">
        <v>145.02000000000001</v>
      </c>
      <c r="D37" s="11">
        <v>113.65</v>
      </c>
      <c r="E37" s="5" t="s">
        <v>17</v>
      </c>
      <c r="F37" s="5" t="s">
        <v>18</v>
      </c>
      <c r="G37" s="5">
        <v>16.047000000000001</v>
      </c>
      <c r="H37" s="5">
        <v>15</v>
      </c>
      <c r="I37" s="5">
        <v>1101</v>
      </c>
      <c r="J37" s="15">
        <v>2403.4499999999998</v>
      </c>
      <c r="K37" s="6">
        <f t="shared" si="0"/>
        <v>2407.4499999999998</v>
      </c>
      <c r="L37" s="6">
        <f t="shared" si="1"/>
        <v>2415.4499999999998</v>
      </c>
      <c r="M37" s="6">
        <f t="shared" si="2"/>
        <v>2411.4499999999998</v>
      </c>
      <c r="N37" s="16" t="s">
        <v>60</v>
      </c>
      <c r="O37" s="8" t="s">
        <v>23</v>
      </c>
      <c r="P37" s="9" t="s">
        <v>61</v>
      </c>
    </row>
    <row r="38" spans="1:16" ht="51" x14ac:dyDescent="0.25">
      <c r="A38" s="10">
        <v>44007218</v>
      </c>
      <c r="B38" s="2" t="s">
        <v>81</v>
      </c>
      <c r="C38" s="6">
        <v>133.68</v>
      </c>
      <c r="D38" s="4">
        <v>131.4</v>
      </c>
      <c r="E38" s="5" t="s">
        <v>31</v>
      </c>
      <c r="F38" s="5" t="s">
        <v>18</v>
      </c>
      <c r="G38" s="5">
        <v>11.7</v>
      </c>
      <c r="H38" s="5">
        <v>10.92</v>
      </c>
      <c r="I38" s="5">
        <v>1101</v>
      </c>
      <c r="J38" s="6">
        <v>139.22999999999999</v>
      </c>
      <c r="K38" s="6">
        <f t="shared" si="0"/>
        <v>143.22999999999999</v>
      </c>
      <c r="L38" s="6">
        <f t="shared" si="1"/>
        <v>151.22999999999999</v>
      </c>
      <c r="M38" s="6">
        <f t="shared" si="2"/>
        <v>147.22999999999999</v>
      </c>
      <c r="N38" s="7" t="s">
        <v>19</v>
      </c>
      <c r="O38" s="8" t="s">
        <v>71</v>
      </c>
      <c r="P38" s="9" t="s">
        <v>33</v>
      </c>
    </row>
    <row r="39" spans="1:16" ht="51" x14ac:dyDescent="0.25">
      <c r="A39" s="10">
        <v>44007219</v>
      </c>
      <c r="B39" s="2" t="s">
        <v>82</v>
      </c>
      <c r="C39" s="6">
        <v>135.03</v>
      </c>
      <c r="D39" s="4">
        <v>169.68</v>
      </c>
      <c r="E39" s="5" t="s">
        <v>31</v>
      </c>
      <c r="F39" s="5" t="s">
        <v>18</v>
      </c>
      <c r="G39" s="5">
        <v>11.85</v>
      </c>
      <c r="H39" s="5">
        <v>10.92</v>
      </c>
      <c r="I39" s="5">
        <v>1101</v>
      </c>
      <c r="J39" s="6">
        <v>71.94</v>
      </c>
      <c r="K39" s="6">
        <f t="shared" si="0"/>
        <v>75.94</v>
      </c>
      <c r="L39" s="6">
        <f t="shared" si="1"/>
        <v>83.94</v>
      </c>
      <c r="M39" s="6">
        <f t="shared" si="2"/>
        <v>79.94</v>
      </c>
      <c r="N39" s="7" t="s">
        <v>19</v>
      </c>
      <c r="O39" s="8" t="s">
        <v>73</v>
      </c>
      <c r="P39" s="9" t="s">
        <v>33</v>
      </c>
    </row>
    <row r="40" spans="1:16" ht="51" x14ac:dyDescent="0.25">
      <c r="A40" s="10">
        <v>44007253</v>
      </c>
      <c r="B40" s="2" t="s">
        <v>83</v>
      </c>
      <c r="C40" s="6">
        <v>145.22999999999999</v>
      </c>
      <c r="D40" s="4">
        <v>101.28</v>
      </c>
      <c r="E40" s="5" t="s">
        <v>31</v>
      </c>
      <c r="F40" s="5" t="s">
        <v>18</v>
      </c>
      <c r="G40" s="5">
        <v>11.657999999999999</v>
      </c>
      <c r="H40" s="5">
        <v>10.92</v>
      </c>
      <c r="I40" s="5">
        <v>1101</v>
      </c>
      <c r="J40" s="6">
        <v>147.63</v>
      </c>
      <c r="K40" s="6">
        <f t="shared" si="0"/>
        <v>151.63</v>
      </c>
      <c r="L40" s="6">
        <f t="shared" si="1"/>
        <v>159.63</v>
      </c>
      <c r="M40" s="6">
        <f t="shared" si="2"/>
        <v>155.63</v>
      </c>
      <c r="N40" s="16" t="s">
        <v>60</v>
      </c>
      <c r="O40" s="8" t="s">
        <v>71</v>
      </c>
      <c r="P40" s="9" t="s">
        <v>64</v>
      </c>
    </row>
    <row r="41" spans="1:16" ht="51" x14ac:dyDescent="0.25">
      <c r="A41" s="10">
        <v>44007254</v>
      </c>
      <c r="B41" s="2" t="s">
        <v>84</v>
      </c>
      <c r="C41" s="6">
        <v>146.31</v>
      </c>
      <c r="D41" s="4">
        <v>136.51</v>
      </c>
      <c r="E41" s="5" t="s">
        <v>31</v>
      </c>
      <c r="F41" s="5" t="s">
        <v>18</v>
      </c>
      <c r="G41" s="5">
        <v>11.766</v>
      </c>
      <c r="H41" s="5">
        <v>10.92</v>
      </c>
      <c r="I41" s="5">
        <v>1101</v>
      </c>
      <c r="J41" s="6">
        <v>75.87</v>
      </c>
      <c r="K41" s="6">
        <f t="shared" si="0"/>
        <v>79.87</v>
      </c>
      <c r="L41" s="6">
        <f t="shared" si="1"/>
        <v>87.87</v>
      </c>
      <c r="M41" s="6">
        <f t="shared" si="2"/>
        <v>83.87</v>
      </c>
      <c r="N41" s="16" t="s">
        <v>60</v>
      </c>
      <c r="O41" s="8" t="s">
        <v>73</v>
      </c>
      <c r="P41" s="9" t="s">
        <v>64</v>
      </c>
    </row>
    <row r="42" spans="1:16" ht="51" x14ac:dyDescent="0.25">
      <c r="A42" s="10">
        <v>44007360</v>
      </c>
      <c r="B42" s="2" t="s">
        <v>85</v>
      </c>
      <c r="C42" s="6">
        <v>133.75</v>
      </c>
      <c r="D42" s="4">
        <v>79.680000000000007</v>
      </c>
      <c r="E42" s="5" t="s">
        <v>31</v>
      </c>
      <c r="F42" s="5" t="s">
        <v>18</v>
      </c>
      <c r="G42" s="5">
        <v>10.882999999999999</v>
      </c>
      <c r="H42" s="5">
        <v>10.44</v>
      </c>
      <c r="I42" s="5">
        <v>1101</v>
      </c>
      <c r="J42" s="14">
        <v>129.15</v>
      </c>
      <c r="K42" s="6">
        <f t="shared" si="0"/>
        <v>133.15</v>
      </c>
      <c r="L42" s="6">
        <f t="shared" si="1"/>
        <v>141.15</v>
      </c>
      <c r="M42" s="6">
        <f t="shared" si="2"/>
        <v>137.15</v>
      </c>
      <c r="N42" s="7" t="s">
        <v>19</v>
      </c>
      <c r="O42" s="8" t="s">
        <v>86</v>
      </c>
      <c r="P42" s="9" t="s">
        <v>33</v>
      </c>
    </row>
    <row r="43" spans="1:16" ht="38.25" x14ac:dyDescent="0.25">
      <c r="A43" s="10">
        <v>44007372</v>
      </c>
      <c r="B43" s="2" t="s">
        <v>87</v>
      </c>
      <c r="C43" s="6">
        <v>157.55000000000001</v>
      </c>
      <c r="D43" s="4">
        <v>101.69</v>
      </c>
      <c r="E43" s="5" t="s">
        <v>17</v>
      </c>
      <c r="F43" s="5" t="s">
        <v>18</v>
      </c>
      <c r="G43" s="5">
        <v>15.707000000000001</v>
      </c>
      <c r="H43" s="5">
        <v>15</v>
      </c>
      <c r="I43" s="5">
        <v>1101</v>
      </c>
      <c r="J43" s="6">
        <v>2588.25</v>
      </c>
      <c r="K43" s="6">
        <f t="shared" si="0"/>
        <v>2592.25</v>
      </c>
      <c r="L43" s="6">
        <f t="shared" si="1"/>
        <v>2600.25</v>
      </c>
      <c r="M43" s="6">
        <f t="shared" si="2"/>
        <v>2596.25</v>
      </c>
      <c r="N43" s="7" t="s">
        <v>67</v>
      </c>
      <c r="O43" s="8" t="s">
        <v>27</v>
      </c>
      <c r="P43" s="9" t="s">
        <v>61</v>
      </c>
    </row>
    <row r="44" spans="1:16" ht="51" x14ac:dyDescent="0.25">
      <c r="A44" s="10">
        <v>44007619</v>
      </c>
      <c r="B44" s="2" t="s">
        <v>88</v>
      </c>
      <c r="C44" s="6">
        <v>133.82</v>
      </c>
      <c r="D44" s="4">
        <v>131.16</v>
      </c>
      <c r="E44" s="5" t="s">
        <v>31</v>
      </c>
      <c r="F44" s="5" t="s">
        <v>18</v>
      </c>
      <c r="G44" s="5">
        <v>11.164</v>
      </c>
      <c r="H44" s="5">
        <v>10.44</v>
      </c>
      <c r="I44" s="5">
        <v>1101</v>
      </c>
      <c r="J44" s="6">
        <v>133.72</v>
      </c>
      <c r="K44" s="6">
        <f t="shared" si="0"/>
        <v>137.72</v>
      </c>
      <c r="L44" s="6">
        <f t="shared" si="1"/>
        <v>145.72</v>
      </c>
      <c r="M44" s="6">
        <f t="shared" si="2"/>
        <v>141.72</v>
      </c>
      <c r="N44" s="7" t="s">
        <v>19</v>
      </c>
      <c r="O44" s="8" t="s">
        <v>89</v>
      </c>
      <c r="P44" s="9" t="s">
        <v>33</v>
      </c>
    </row>
    <row r="45" spans="1:16" ht="51" x14ac:dyDescent="0.25">
      <c r="A45" s="10">
        <v>44007621</v>
      </c>
      <c r="B45" s="2" t="s">
        <v>90</v>
      </c>
      <c r="C45" s="6">
        <v>134.99</v>
      </c>
      <c r="D45" s="4">
        <v>168.96</v>
      </c>
      <c r="E45" s="5" t="s">
        <v>31</v>
      </c>
      <c r="F45" s="5" t="s">
        <v>18</v>
      </c>
      <c r="G45" s="5">
        <v>11.324</v>
      </c>
      <c r="H45" s="5">
        <v>10.44</v>
      </c>
      <c r="I45" s="5">
        <v>1101</v>
      </c>
      <c r="J45" s="6">
        <v>69.05</v>
      </c>
      <c r="K45" s="6">
        <f t="shared" si="0"/>
        <v>73.05</v>
      </c>
      <c r="L45" s="6">
        <f t="shared" si="1"/>
        <v>81.05</v>
      </c>
      <c r="M45" s="6">
        <f t="shared" si="2"/>
        <v>77.05</v>
      </c>
      <c r="N45" s="7" t="s">
        <v>19</v>
      </c>
      <c r="O45" s="8" t="s">
        <v>91</v>
      </c>
      <c r="P45" s="9" t="s">
        <v>33</v>
      </c>
    </row>
    <row r="46" spans="1:16" ht="51" x14ac:dyDescent="0.25">
      <c r="A46" s="10">
        <v>44007624</v>
      </c>
      <c r="B46" s="2" t="s">
        <v>92</v>
      </c>
      <c r="C46" s="6">
        <v>153.03</v>
      </c>
      <c r="D46" s="4">
        <v>49.32</v>
      </c>
      <c r="E46" s="5" t="s">
        <v>31</v>
      </c>
      <c r="F46" s="5" t="s">
        <v>18</v>
      </c>
      <c r="G46" s="5">
        <v>10.882999999999999</v>
      </c>
      <c r="H46" s="5">
        <v>10.44</v>
      </c>
      <c r="I46" s="5">
        <v>1101</v>
      </c>
      <c r="J46" s="17">
        <v>144.11000000000001</v>
      </c>
      <c r="K46" s="6">
        <f t="shared" si="0"/>
        <v>148.11000000000001</v>
      </c>
      <c r="L46" s="6">
        <f t="shared" si="1"/>
        <v>156.11000000000001</v>
      </c>
      <c r="M46" s="6">
        <f t="shared" si="2"/>
        <v>152.11000000000001</v>
      </c>
      <c r="N46" s="7" t="s">
        <v>35</v>
      </c>
      <c r="O46" s="8" t="s">
        <v>86</v>
      </c>
      <c r="P46" s="9" t="s">
        <v>33</v>
      </c>
    </row>
    <row r="47" spans="1:16" ht="51" x14ac:dyDescent="0.25">
      <c r="A47" s="10">
        <v>44007636</v>
      </c>
      <c r="B47" s="2" t="s">
        <v>93</v>
      </c>
      <c r="C47" s="3">
        <v>153.02000000000001</v>
      </c>
      <c r="D47" s="4">
        <v>101.69</v>
      </c>
      <c r="E47" s="5" t="s">
        <v>17</v>
      </c>
      <c r="F47" s="5" t="s">
        <v>18</v>
      </c>
      <c r="G47" s="5">
        <v>15.707000000000001</v>
      </c>
      <c r="H47" s="5">
        <v>15</v>
      </c>
      <c r="I47" s="5">
        <v>1101</v>
      </c>
      <c r="J47" s="6">
        <v>2516.85</v>
      </c>
      <c r="K47" s="6">
        <f t="shared" si="0"/>
        <v>2520.85</v>
      </c>
      <c r="L47" s="6">
        <f t="shared" si="1"/>
        <v>2528.85</v>
      </c>
      <c r="M47" s="6">
        <f t="shared" si="2"/>
        <v>2524.85</v>
      </c>
      <c r="N47" s="7" t="s">
        <v>35</v>
      </c>
      <c r="O47" s="8" t="s">
        <v>27</v>
      </c>
      <c r="P47" s="9" t="s">
        <v>21</v>
      </c>
    </row>
    <row r="48" spans="1:16" ht="38.25" x14ac:dyDescent="0.25">
      <c r="A48" s="10">
        <v>44007632</v>
      </c>
      <c r="B48" s="2" t="s">
        <v>94</v>
      </c>
      <c r="C48" s="3">
        <v>157.63</v>
      </c>
      <c r="D48" s="4">
        <v>48.72</v>
      </c>
      <c r="E48" s="5" t="s">
        <v>31</v>
      </c>
      <c r="F48" s="5" t="s">
        <v>18</v>
      </c>
      <c r="G48" s="5">
        <v>11.364000000000001</v>
      </c>
      <c r="H48" s="5">
        <v>10.92</v>
      </c>
      <c r="I48" s="5">
        <v>1101</v>
      </c>
      <c r="J48" s="14">
        <v>154.88</v>
      </c>
      <c r="K48" s="6">
        <f t="shared" si="0"/>
        <v>158.88</v>
      </c>
      <c r="L48" s="6">
        <f t="shared" si="1"/>
        <v>166.88</v>
      </c>
      <c r="M48" s="6">
        <f t="shared" si="2"/>
        <v>162.88</v>
      </c>
      <c r="N48" s="7" t="s">
        <v>67</v>
      </c>
      <c r="O48" s="8" t="s">
        <v>40</v>
      </c>
      <c r="P48" s="9" t="s">
        <v>64</v>
      </c>
    </row>
    <row r="49" spans="1:16" ht="51" x14ac:dyDescent="0.25">
      <c r="A49" s="10">
        <v>44007665</v>
      </c>
      <c r="B49" s="2" t="s">
        <v>95</v>
      </c>
      <c r="C49" s="3">
        <v>133.55000000000001</v>
      </c>
      <c r="D49" s="11">
        <v>128.05000000000001</v>
      </c>
      <c r="E49" s="5" t="s">
        <v>17</v>
      </c>
      <c r="F49" s="5" t="s">
        <v>18</v>
      </c>
      <c r="G49" s="5">
        <v>12.475</v>
      </c>
      <c r="H49" s="5">
        <v>11.83</v>
      </c>
      <c r="I49" s="5">
        <v>1101</v>
      </c>
      <c r="J49" s="3">
        <v>1793.4</v>
      </c>
      <c r="K49" s="6">
        <f t="shared" si="0"/>
        <v>1797.4</v>
      </c>
      <c r="L49" s="6">
        <f t="shared" si="1"/>
        <v>1805.4</v>
      </c>
      <c r="M49" s="6">
        <f t="shared" si="2"/>
        <v>1801.4</v>
      </c>
      <c r="N49" s="7" t="s">
        <v>19</v>
      </c>
      <c r="O49" s="8" t="s">
        <v>96</v>
      </c>
      <c r="P49" s="9" t="s">
        <v>21</v>
      </c>
    </row>
    <row r="50" spans="1:16" ht="38.25" x14ac:dyDescent="0.25">
      <c r="A50" s="10">
        <v>44007657</v>
      </c>
      <c r="B50" s="2" t="s">
        <v>97</v>
      </c>
      <c r="C50" s="3">
        <v>133.53</v>
      </c>
      <c r="D50" s="4">
        <v>148.16</v>
      </c>
      <c r="E50" s="5" t="s">
        <v>17</v>
      </c>
      <c r="F50" s="5" t="s">
        <v>18</v>
      </c>
      <c r="G50" s="5">
        <v>13.984999999999999</v>
      </c>
      <c r="H50" s="5">
        <v>13</v>
      </c>
      <c r="I50" s="5">
        <v>1101</v>
      </c>
      <c r="J50" s="6">
        <v>1978.2</v>
      </c>
      <c r="K50" s="6">
        <f t="shared" si="0"/>
        <v>1982.2</v>
      </c>
      <c r="L50" s="6">
        <f t="shared" si="1"/>
        <v>1990.2</v>
      </c>
      <c r="M50" s="6">
        <f t="shared" si="2"/>
        <v>1986.2</v>
      </c>
      <c r="N50" s="7" t="s">
        <v>19</v>
      </c>
      <c r="O50" s="8" t="s">
        <v>98</v>
      </c>
      <c r="P50" s="9" t="s">
        <v>21</v>
      </c>
    </row>
    <row r="51" spans="1:16" ht="51" x14ac:dyDescent="0.25">
      <c r="A51" s="10">
        <v>44007672</v>
      </c>
      <c r="B51" s="2" t="s">
        <v>99</v>
      </c>
      <c r="C51" s="3">
        <v>133.54</v>
      </c>
      <c r="D51" s="4">
        <v>135.19999999999999</v>
      </c>
      <c r="E51" s="5" t="s">
        <v>17</v>
      </c>
      <c r="F51" s="5" t="s">
        <v>18</v>
      </c>
      <c r="G51" s="5">
        <v>12.818</v>
      </c>
      <c r="H51" s="5">
        <v>11.83</v>
      </c>
      <c r="I51" s="5">
        <v>1101</v>
      </c>
      <c r="J51" s="6">
        <v>1800.75</v>
      </c>
      <c r="K51" s="6">
        <f t="shared" si="0"/>
        <v>1804.75</v>
      </c>
      <c r="L51" s="6">
        <f t="shared" si="1"/>
        <v>1812.75</v>
      </c>
      <c r="M51" s="6">
        <f t="shared" si="2"/>
        <v>1808.75</v>
      </c>
      <c r="N51" s="7" t="s">
        <v>19</v>
      </c>
      <c r="O51" s="8" t="s">
        <v>100</v>
      </c>
      <c r="P51" s="9" t="s">
        <v>21</v>
      </c>
    </row>
    <row r="52" spans="1:16" ht="51" x14ac:dyDescent="0.25">
      <c r="A52" s="10">
        <v>44007673</v>
      </c>
      <c r="B52" s="2" t="s">
        <v>101</v>
      </c>
      <c r="C52" s="6">
        <v>133.78</v>
      </c>
      <c r="D52" s="4">
        <v>49.32</v>
      </c>
      <c r="E52" s="5" t="s">
        <v>31</v>
      </c>
      <c r="F52" s="5" t="s">
        <v>18</v>
      </c>
      <c r="G52" s="5">
        <v>10.97</v>
      </c>
      <c r="H52" s="5">
        <v>10.44</v>
      </c>
      <c r="I52" s="5">
        <v>1101</v>
      </c>
      <c r="J52" s="17">
        <v>126.53</v>
      </c>
      <c r="K52" s="6">
        <f t="shared" si="0"/>
        <v>130.53</v>
      </c>
      <c r="L52" s="6">
        <f t="shared" si="1"/>
        <v>138.53</v>
      </c>
      <c r="M52" s="6">
        <f t="shared" si="2"/>
        <v>134.53</v>
      </c>
      <c r="N52" s="7" t="s">
        <v>35</v>
      </c>
      <c r="O52" s="8" t="s">
        <v>86</v>
      </c>
      <c r="P52" s="9" t="s">
        <v>33</v>
      </c>
    </row>
    <row r="53" spans="1:16" ht="51" x14ac:dyDescent="0.25">
      <c r="A53" s="10">
        <v>44007680</v>
      </c>
      <c r="B53" s="2" t="s">
        <v>102</v>
      </c>
      <c r="C53" s="11">
        <v>133.56</v>
      </c>
      <c r="D53" s="11">
        <v>132.69999999999999</v>
      </c>
      <c r="E53" s="5" t="s">
        <v>17</v>
      </c>
      <c r="F53" s="5" t="s">
        <v>18</v>
      </c>
      <c r="G53" s="5">
        <v>13.667999999999999</v>
      </c>
      <c r="H53" s="5">
        <v>13</v>
      </c>
      <c r="I53" s="5">
        <v>1101</v>
      </c>
      <c r="J53" s="11">
        <v>1962.45</v>
      </c>
      <c r="K53" s="6">
        <f t="shared" si="0"/>
        <v>1966.45</v>
      </c>
      <c r="L53" s="6">
        <f t="shared" si="1"/>
        <v>1974.45</v>
      </c>
      <c r="M53" s="6">
        <f t="shared" si="2"/>
        <v>1970.45</v>
      </c>
      <c r="N53" s="7" t="s">
        <v>19</v>
      </c>
      <c r="O53" s="18" t="s">
        <v>103</v>
      </c>
      <c r="P53" s="9" t="s">
        <v>21</v>
      </c>
    </row>
    <row r="54" spans="1:16" ht="51" x14ac:dyDescent="0.25">
      <c r="A54" s="10">
        <v>44007722</v>
      </c>
      <c r="B54" s="2" t="s">
        <v>104</v>
      </c>
      <c r="C54" s="6">
        <v>133.76</v>
      </c>
      <c r="D54" s="4">
        <v>96.75</v>
      </c>
      <c r="E54" s="5" t="s">
        <v>31</v>
      </c>
      <c r="F54" s="5" t="s">
        <v>18</v>
      </c>
      <c r="G54" s="5">
        <v>12.86</v>
      </c>
      <c r="H54" s="5">
        <v>12.285</v>
      </c>
      <c r="I54" s="5">
        <v>1101</v>
      </c>
      <c r="J54" s="14">
        <v>121.8</v>
      </c>
      <c r="K54" s="6">
        <f t="shared" si="0"/>
        <v>125.8</v>
      </c>
      <c r="L54" s="6">
        <f t="shared" si="1"/>
        <v>133.80000000000001</v>
      </c>
      <c r="M54" s="6">
        <f t="shared" si="2"/>
        <v>129.80000000000001</v>
      </c>
      <c r="N54" s="7" t="s">
        <v>19</v>
      </c>
      <c r="O54" s="8" t="s">
        <v>105</v>
      </c>
      <c r="P54" s="9" t="s">
        <v>33</v>
      </c>
    </row>
    <row r="55" spans="1:16" ht="51" x14ac:dyDescent="0.25">
      <c r="A55" s="10">
        <v>44007717</v>
      </c>
      <c r="B55" s="2" t="s">
        <v>106</v>
      </c>
      <c r="C55" s="6">
        <v>145.26</v>
      </c>
      <c r="D55" s="11">
        <v>60.45</v>
      </c>
      <c r="E55" s="5" t="s">
        <v>31</v>
      </c>
      <c r="F55" s="5" t="s">
        <v>18</v>
      </c>
      <c r="G55" s="5">
        <v>12.86</v>
      </c>
      <c r="H55" s="5">
        <v>12.285</v>
      </c>
      <c r="I55" s="5">
        <v>1101</v>
      </c>
      <c r="J55" s="14">
        <v>129.15</v>
      </c>
      <c r="K55" s="6">
        <f t="shared" si="0"/>
        <v>133.15</v>
      </c>
      <c r="L55" s="6">
        <f t="shared" si="1"/>
        <v>141.15</v>
      </c>
      <c r="M55" s="6">
        <f t="shared" si="2"/>
        <v>137.15</v>
      </c>
      <c r="N55" s="16" t="s">
        <v>60</v>
      </c>
      <c r="O55" s="8" t="s">
        <v>107</v>
      </c>
      <c r="P55" s="9" t="s">
        <v>64</v>
      </c>
    </row>
    <row r="56" spans="1:16" ht="51" x14ac:dyDescent="0.25">
      <c r="A56" s="10">
        <v>44007715</v>
      </c>
      <c r="B56" s="2" t="s">
        <v>108</v>
      </c>
      <c r="C56" s="3">
        <v>133.56</v>
      </c>
      <c r="D56" s="4">
        <v>239.32</v>
      </c>
      <c r="E56" s="5" t="s">
        <v>31</v>
      </c>
      <c r="F56" s="5" t="s">
        <v>18</v>
      </c>
      <c r="G56" s="5">
        <v>17.809999999999999</v>
      </c>
      <c r="H56" s="5">
        <v>16.38</v>
      </c>
      <c r="I56" s="5">
        <v>1101</v>
      </c>
      <c r="J56" s="5">
        <v>637.09</v>
      </c>
      <c r="K56" s="6">
        <f t="shared" si="0"/>
        <v>641.09</v>
      </c>
      <c r="L56" s="6">
        <f t="shared" si="1"/>
        <v>649.09</v>
      </c>
      <c r="M56" s="6">
        <f t="shared" si="2"/>
        <v>645.09</v>
      </c>
      <c r="N56" s="7" t="s">
        <v>19</v>
      </c>
      <c r="O56" s="8" t="s">
        <v>109</v>
      </c>
      <c r="P56" s="9" t="s">
        <v>33</v>
      </c>
    </row>
    <row r="57" spans="1:16" ht="38.25" x14ac:dyDescent="0.25">
      <c r="A57" s="10">
        <v>44007686</v>
      </c>
      <c r="B57" s="2" t="s">
        <v>110</v>
      </c>
      <c r="C57" s="6">
        <v>157.88999999999999</v>
      </c>
      <c r="D57" s="4">
        <v>99.44</v>
      </c>
      <c r="E57" s="5" t="s">
        <v>31</v>
      </c>
      <c r="F57" s="5" t="s">
        <v>18</v>
      </c>
      <c r="G57" s="5">
        <v>10.574999999999999</v>
      </c>
      <c r="H57" s="5">
        <v>9.8279999999999994</v>
      </c>
      <c r="I57" s="5">
        <v>1101</v>
      </c>
      <c r="J57" s="6">
        <v>144.47999999999999</v>
      </c>
      <c r="K57" s="6">
        <f t="shared" si="0"/>
        <v>148.47999999999999</v>
      </c>
      <c r="L57" s="6">
        <f t="shared" si="1"/>
        <v>156.47999999999999</v>
      </c>
      <c r="M57" s="6">
        <f t="shared" si="2"/>
        <v>152.47999999999999</v>
      </c>
      <c r="N57" s="7" t="s">
        <v>67</v>
      </c>
      <c r="O57" s="8" t="s">
        <v>111</v>
      </c>
      <c r="P57" s="9" t="s">
        <v>64</v>
      </c>
    </row>
    <row r="58" spans="1:16" ht="51" x14ac:dyDescent="0.25">
      <c r="A58" s="10">
        <v>44007718</v>
      </c>
      <c r="B58" s="2" t="s">
        <v>112</v>
      </c>
      <c r="C58" s="6">
        <v>145.05000000000001</v>
      </c>
      <c r="D58" s="4">
        <v>169.03</v>
      </c>
      <c r="E58" s="5" t="s">
        <v>31</v>
      </c>
      <c r="F58" s="5" t="s">
        <v>18</v>
      </c>
      <c r="G58" s="5">
        <v>17.809999999999999</v>
      </c>
      <c r="H58" s="5">
        <v>16.38</v>
      </c>
      <c r="I58" s="5">
        <v>1101</v>
      </c>
      <c r="J58" s="6">
        <v>668.06</v>
      </c>
      <c r="K58" s="6">
        <f t="shared" si="0"/>
        <v>672.06</v>
      </c>
      <c r="L58" s="6">
        <f t="shared" si="1"/>
        <v>680.06</v>
      </c>
      <c r="M58" s="6">
        <f t="shared" si="2"/>
        <v>676.06</v>
      </c>
      <c r="N58" s="7" t="s">
        <v>60</v>
      </c>
      <c r="O58" s="8" t="s">
        <v>113</v>
      </c>
      <c r="P58" s="9" t="s">
        <v>64</v>
      </c>
    </row>
    <row r="59" spans="1:16" ht="38.25" x14ac:dyDescent="0.25">
      <c r="A59" s="10">
        <v>44007687</v>
      </c>
      <c r="B59" s="2" t="s">
        <v>114</v>
      </c>
      <c r="C59" s="6">
        <v>157.51</v>
      </c>
      <c r="D59" s="4">
        <v>169.03</v>
      </c>
      <c r="E59" s="5" t="s">
        <v>31</v>
      </c>
      <c r="F59" s="5" t="s">
        <v>18</v>
      </c>
      <c r="G59" s="5">
        <v>17.809999999999999</v>
      </c>
      <c r="H59" s="5">
        <v>16.38</v>
      </c>
      <c r="I59" s="5">
        <v>1101</v>
      </c>
      <c r="J59" s="6">
        <v>721.61</v>
      </c>
      <c r="K59" s="6">
        <f t="shared" si="0"/>
        <v>725.61</v>
      </c>
      <c r="L59" s="6">
        <f t="shared" si="1"/>
        <v>733.61</v>
      </c>
      <c r="M59" s="6">
        <f t="shared" si="2"/>
        <v>729.61</v>
      </c>
      <c r="N59" s="7" t="s">
        <v>67</v>
      </c>
      <c r="O59" s="8" t="s">
        <v>113</v>
      </c>
      <c r="P59" s="9" t="s">
        <v>64</v>
      </c>
    </row>
    <row r="60" spans="1:16" ht="51" x14ac:dyDescent="0.25">
      <c r="A60" s="10">
        <v>44007682</v>
      </c>
      <c r="B60" s="2" t="s">
        <v>115</v>
      </c>
      <c r="C60" s="6">
        <v>145.37</v>
      </c>
      <c r="D60" s="4">
        <v>99.48</v>
      </c>
      <c r="E60" s="5" t="s">
        <v>31</v>
      </c>
      <c r="F60" s="5" t="s">
        <v>18</v>
      </c>
      <c r="G60" s="5">
        <v>10.574999999999999</v>
      </c>
      <c r="H60" s="5">
        <v>9.8279999999999994</v>
      </c>
      <c r="I60" s="5">
        <v>1101</v>
      </c>
      <c r="J60" s="6">
        <v>133.72</v>
      </c>
      <c r="K60" s="6">
        <f t="shared" si="0"/>
        <v>137.72</v>
      </c>
      <c r="L60" s="6">
        <f t="shared" si="1"/>
        <v>145.72</v>
      </c>
      <c r="M60" s="6">
        <f t="shared" si="2"/>
        <v>141.72</v>
      </c>
      <c r="N60" s="16" t="s">
        <v>60</v>
      </c>
      <c r="O60" s="8" t="s">
        <v>111</v>
      </c>
      <c r="P60" s="9" t="s">
        <v>64</v>
      </c>
    </row>
    <row r="61" spans="1:16" ht="38.25" x14ac:dyDescent="0.25">
      <c r="A61" s="10">
        <v>44007685</v>
      </c>
      <c r="B61" s="2" t="s">
        <v>116</v>
      </c>
      <c r="C61" s="19">
        <v>159.09</v>
      </c>
      <c r="D61" s="20">
        <v>130.78</v>
      </c>
      <c r="E61" s="5" t="s">
        <v>31</v>
      </c>
      <c r="F61" s="5" t="s">
        <v>18</v>
      </c>
      <c r="G61" s="5">
        <v>10.75</v>
      </c>
      <c r="H61" s="5">
        <v>9.8279999999999994</v>
      </c>
      <c r="I61" s="5">
        <v>1101</v>
      </c>
      <c r="J61" s="19">
        <v>74.209999999999994</v>
      </c>
      <c r="K61" s="6">
        <f t="shared" si="0"/>
        <v>78.209999999999994</v>
      </c>
      <c r="L61" s="6">
        <f t="shared" si="1"/>
        <v>86.21</v>
      </c>
      <c r="M61" s="6">
        <f t="shared" si="2"/>
        <v>82.21</v>
      </c>
      <c r="N61" s="21" t="s">
        <v>67</v>
      </c>
      <c r="O61" s="22" t="s">
        <v>117</v>
      </c>
      <c r="P61" s="9" t="s">
        <v>64</v>
      </c>
    </row>
    <row r="62" spans="1:16" ht="38.25" x14ac:dyDescent="0.25">
      <c r="A62" s="10">
        <v>44007684</v>
      </c>
      <c r="B62" s="2" t="s">
        <v>118</v>
      </c>
      <c r="C62" s="6">
        <v>157.47999999999999</v>
      </c>
      <c r="D62" s="4">
        <v>233.4</v>
      </c>
      <c r="E62" s="5" t="s">
        <v>31</v>
      </c>
      <c r="F62" s="5" t="s">
        <v>18</v>
      </c>
      <c r="G62" s="5">
        <v>10.95</v>
      </c>
      <c r="H62" s="5">
        <v>9.8279999999999994</v>
      </c>
      <c r="I62" s="5">
        <v>1101</v>
      </c>
      <c r="J62" s="6">
        <v>31.2</v>
      </c>
      <c r="K62" s="6">
        <f t="shared" si="0"/>
        <v>35.200000000000003</v>
      </c>
      <c r="L62" s="6">
        <f t="shared" si="1"/>
        <v>43.2</v>
      </c>
      <c r="M62" s="6">
        <f t="shared" si="2"/>
        <v>39.200000000000003</v>
      </c>
      <c r="N62" s="7" t="s">
        <v>67</v>
      </c>
      <c r="O62" s="8" t="s">
        <v>75</v>
      </c>
      <c r="P62" s="9" t="s">
        <v>64</v>
      </c>
    </row>
    <row r="63" spans="1:16" ht="38.25" x14ac:dyDescent="0.25">
      <c r="A63" s="10">
        <v>44007725</v>
      </c>
      <c r="B63" s="2" t="s">
        <v>119</v>
      </c>
      <c r="C63" s="6">
        <v>153.19999999999999</v>
      </c>
      <c r="D63" s="4">
        <v>60.45</v>
      </c>
      <c r="E63" s="5" t="s">
        <v>31</v>
      </c>
      <c r="F63" s="5" t="s">
        <v>18</v>
      </c>
      <c r="G63" s="5">
        <v>13.015000000000001</v>
      </c>
      <c r="H63" s="5">
        <v>12.285</v>
      </c>
      <c r="I63" s="5">
        <v>1101</v>
      </c>
      <c r="J63" s="5">
        <v>135.97999999999999</v>
      </c>
      <c r="K63" s="6">
        <f t="shared" si="0"/>
        <v>139.97999999999999</v>
      </c>
      <c r="L63" s="6">
        <f t="shared" si="1"/>
        <v>147.97999999999999</v>
      </c>
      <c r="M63" s="6">
        <f t="shared" si="2"/>
        <v>143.97999999999999</v>
      </c>
      <c r="N63" s="7" t="s">
        <v>35</v>
      </c>
      <c r="O63" s="8" t="s">
        <v>105</v>
      </c>
      <c r="P63" s="9" t="s">
        <v>33</v>
      </c>
    </row>
    <row r="64" spans="1:16" ht="51" x14ac:dyDescent="0.25">
      <c r="A64" s="10">
        <v>44007716</v>
      </c>
      <c r="B64" s="2" t="s">
        <v>120</v>
      </c>
      <c r="C64" s="23">
        <v>133.56</v>
      </c>
      <c r="D64" s="20">
        <v>219.28</v>
      </c>
      <c r="E64" s="5" t="s">
        <v>31</v>
      </c>
      <c r="F64" s="5" t="s">
        <v>18</v>
      </c>
      <c r="G64" s="5">
        <v>17.899999999999999</v>
      </c>
      <c r="H64" s="5">
        <v>16.38</v>
      </c>
      <c r="I64" s="5">
        <v>1101</v>
      </c>
      <c r="J64" s="24">
        <v>631.84</v>
      </c>
      <c r="K64" s="6">
        <f t="shared" si="0"/>
        <v>635.84</v>
      </c>
      <c r="L64" s="6">
        <f t="shared" si="1"/>
        <v>643.84</v>
      </c>
      <c r="M64" s="6">
        <f t="shared" si="2"/>
        <v>639.84</v>
      </c>
      <c r="N64" s="7" t="s">
        <v>19</v>
      </c>
      <c r="O64" s="8" t="s">
        <v>113</v>
      </c>
      <c r="P64" s="9" t="s">
        <v>33</v>
      </c>
    </row>
    <row r="65" spans="1:16" ht="38.25" x14ac:dyDescent="0.25">
      <c r="A65" s="10">
        <v>44007719</v>
      </c>
      <c r="B65" s="2" t="s">
        <v>121</v>
      </c>
      <c r="C65" s="23">
        <v>133.53</v>
      </c>
      <c r="D65" s="20">
        <v>135.1</v>
      </c>
      <c r="E65" s="5" t="s">
        <v>17</v>
      </c>
      <c r="F65" s="5" t="s">
        <v>18</v>
      </c>
      <c r="G65" s="5">
        <v>13.69</v>
      </c>
      <c r="H65" s="5">
        <v>13</v>
      </c>
      <c r="I65" s="5">
        <v>1101</v>
      </c>
      <c r="J65" s="24">
        <v>1964.55</v>
      </c>
      <c r="K65" s="6">
        <f t="shared" si="0"/>
        <v>1968.55</v>
      </c>
      <c r="L65" s="6">
        <f t="shared" si="1"/>
        <v>1976.55</v>
      </c>
      <c r="M65" s="6">
        <f t="shared" si="2"/>
        <v>1972.55</v>
      </c>
      <c r="N65" s="7" t="s">
        <v>19</v>
      </c>
      <c r="O65" s="8" t="s">
        <v>122</v>
      </c>
      <c r="P65" s="9" t="s">
        <v>21</v>
      </c>
    </row>
    <row r="66" spans="1:16" ht="38.25" x14ac:dyDescent="0.25">
      <c r="A66" s="10">
        <v>44007759</v>
      </c>
      <c r="B66" s="2" t="s">
        <v>123</v>
      </c>
      <c r="C66" s="23">
        <v>133.52000000000001</v>
      </c>
      <c r="D66" s="20">
        <v>69.48</v>
      </c>
      <c r="E66" s="5" t="s">
        <v>17</v>
      </c>
      <c r="F66" s="5" t="s">
        <v>18</v>
      </c>
      <c r="G66" s="5">
        <v>4.4000000000000004</v>
      </c>
      <c r="H66" s="5">
        <v>4.0949999999999998</v>
      </c>
      <c r="I66" s="5">
        <v>1101</v>
      </c>
      <c r="J66" s="24">
        <v>647.05999999999995</v>
      </c>
      <c r="K66" s="6">
        <f t="shared" si="0"/>
        <v>651.05999999999995</v>
      </c>
      <c r="L66" s="6">
        <f t="shared" si="1"/>
        <v>659.06</v>
      </c>
      <c r="M66" s="6">
        <f t="shared" si="2"/>
        <v>655.05999999999995</v>
      </c>
      <c r="N66" s="7" t="s">
        <v>19</v>
      </c>
      <c r="O66" s="8" t="s">
        <v>124</v>
      </c>
      <c r="P66" s="9" t="s">
        <v>33</v>
      </c>
    </row>
    <row r="67" spans="1:16" ht="51" x14ac:dyDescent="0.25">
      <c r="A67" s="10">
        <v>44007721</v>
      </c>
      <c r="B67" s="2" t="s">
        <v>125</v>
      </c>
      <c r="C67" s="6">
        <v>133.59</v>
      </c>
      <c r="D67" s="4">
        <v>118.08</v>
      </c>
      <c r="E67" s="5" t="s">
        <v>31</v>
      </c>
      <c r="F67" s="5" t="s">
        <v>18</v>
      </c>
      <c r="G67" s="5">
        <v>10.35</v>
      </c>
      <c r="H67" s="5">
        <v>9.8279999999999994</v>
      </c>
      <c r="I67" s="5">
        <v>1101</v>
      </c>
      <c r="J67" s="5">
        <v>125.21</v>
      </c>
      <c r="K67" s="6">
        <f t="shared" ref="K67:K79" si="3">J67+4</f>
        <v>129.20999999999998</v>
      </c>
      <c r="L67" s="6">
        <f t="shared" ref="L67:L79" si="4">J67+12</f>
        <v>137.20999999999998</v>
      </c>
      <c r="M67" s="6">
        <f t="shared" ref="M67:M79" si="5">J67+8</f>
        <v>133.20999999999998</v>
      </c>
      <c r="N67" s="7" t="s">
        <v>19</v>
      </c>
      <c r="O67" s="8" t="s">
        <v>126</v>
      </c>
      <c r="P67" s="9" t="s">
        <v>33</v>
      </c>
    </row>
    <row r="68" spans="1:16" ht="51" x14ac:dyDescent="0.25">
      <c r="A68" s="10">
        <v>44007723</v>
      </c>
      <c r="B68" s="2" t="s">
        <v>127</v>
      </c>
      <c r="C68" s="6">
        <v>133.68</v>
      </c>
      <c r="D68" s="4">
        <v>184.56</v>
      </c>
      <c r="E68" s="5" t="s">
        <v>31</v>
      </c>
      <c r="F68" s="5" t="s">
        <v>18</v>
      </c>
      <c r="G68" s="5">
        <v>10.35</v>
      </c>
      <c r="H68" s="5">
        <v>9.8279999999999994</v>
      </c>
      <c r="I68" s="5">
        <v>1101</v>
      </c>
      <c r="J68" s="5">
        <v>65.63</v>
      </c>
      <c r="K68" s="6">
        <f t="shared" si="3"/>
        <v>69.63</v>
      </c>
      <c r="L68" s="6">
        <f t="shared" si="4"/>
        <v>77.63</v>
      </c>
      <c r="M68" s="6">
        <f t="shared" si="5"/>
        <v>73.63</v>
      </c>
      <c r="N68" s="7" t="s">
        <v>19</v>
      </c>
      <c r="O68" s="8" t="s">
        <v>128</v>
      </c>
      <c r="P68" s="9" t="s">
        <v>33</v>
      </c>
    </row>
    <row r="69" spans="1:16" ht="38.25" x14ac:dyDescent="0.25">
      <c r="A69" s="10">
        <v>44007724</v>
      </c>
      <c r="B69" s="2" t="s">
        <v>129</v>
      </c>
      <c r="C69" s="3">
        <v>153.05000000000001</v>
      </c>
      <c r="D69" s="4">
        <v>169.04</v>
      </c>
      <c r="E69" s="5" t="s">
        <v>31</v>
      </c>
      <c r="F69" s="5" t="s">
        <v>18</v>
      </c>
      <c r="G69" s="5">
        <v>17.8</v>
      </c>
      <c r="H69" s="5">
        <v>16.38</v>
      </c>
      <c r="I69" s="5">
        <v>1101</v>
      </c>
      <c r="J69" s="5">
        <v>702.45</v>
      </c>
      <c r="K69" s="6">
        <f t="shared" si="3"/>
        <v>706.45</v>
      </c>
      <c r="L69" s="6">
        <f t="shared" si="4"/>
        <v>714.45</v>
      </c>
      <c r="M69" s="6">
        <f t="shared" si="5"/>
        <v>710.45</v>
      </c>
      <c r="N69" s="7" t="s">
        <v>35</v>
      </c>
      <c r="O69" s="8" t="s">
        <v>113</v>
      </c>
      <c r="P69" s="9" t="s">
        <v>33</v>
      </c>
    </row>
    <row r="70" spans="1:16" ht="51" x14ac:dyDescent="0.25">
      <c r="A70" s="10">
        <v>44007727</v>
      </c>
      <c r="B70" s="2" t="s">
        <v>130</v>
      </c>
      <c r="C70" s="25">
        <v>133.65</v>
      </c>
      <c r="D70" s="26">
        <v>141.75</v>
      </c>
      <c r="E70" s="5" t="s">
        <v>31</v>
      </c>
      <c r="F70" s="5" t="s">
        <v>18</v>
      </c>
      <c r="G70" s="5">
        <v>11.5</v>
      </c>
      <c r="H70" s="5">
        <v>10.92</v>
      </c>
      <c r="I70" s="5">
        <v>1101</v>
      </c>
      <c r="J70" s="27">
        <v>112.09</v>
      </c>
      <c r="K70" s="6">
        <f t="shared" si="3"/>
        <v>116.09</v>
      </c>
      <c r="L70" s="6">
        <f t="shared" si="4"/>
        <v>124.09</v>
      </c>
      <c r="M70" s="6">
        <f t="shared" si="5"/>
        <v>120.09</v>
      </c>
      <c r="N70" s="7" t="s">
        <v>19</v>
      </c>
      <c r="O70" s="8" t="s">
        <v>131</v>
      </c>
      <c r="P70" s="9" t="s">
        <v>33</v>
      </c>
    </row>
    <row r="71" spans="1:16" ht="51" x14ac:dyDescent="0.25">
      <c r="A71" s="10">
        <v>44007744</v>
      </c>
      <c r="B71" s="2" t="s">
        <v>132</v>
      </c>
      <c r="C71" s="28">
        <v>133.56</v>
      </c>
      <c r="D71" s="28">
        <v>142.69999999999999</v>
      </c>
      <c r="E71" s="5" t="s">
        <v>17</v>
      </c>
      <c r="F71" s="5" t="s">
        <v>18</v>
      </c>
      <c r="G71" s="5">
        <v>13.667999999999999</v>
      </c>
      <c r="H71" s="5">
        <v>13</v>
      </c>
      <c r="I71" s="5">
        <v>1101</v>
      </c>
      <c r="J71" s="28">
        <v>1972.95</v>
      </c>
      <c r="K71" s="6">
        <f t="shared" si="3"/>
        <v>1976.95</v>
      </c>
      <c r="L71" s="6">
        <f t="shared" si="4"/>
        <v>1984.95</v>
      </c>
      <c r="M71" s="6">
        <f t="shared" si="5"/>
        <v>1980.95</v>
      </c>
      <c r="N71" s="7" t="s">
        <v>19</v>
      </c>
      <c r="O71" s="29" t="s">
        <v>133</v>
      </c>
      <c r="P71" s="30" t="s">
        <v>61</v>
      </c>
    </row>
    <row r="72" spans="1:16" ht="51" x14ac:dyDescent="0.25">
      <c r="A72" s="10">
        <v>44007745</v>
      </c>
      <c r="B72" s="2" t="s">
        <v>134</v>
      </c>
      <c r="C72" s="3">
        <v>133.55000000000001</v>
      </c>
      <c r="D72" s="11">
        <v>138.05000000000001</v>
      </c>
      <c r="E72" s="5" t="s">
        <v>17</v>
      </c>
      <c r="F72" s="5" t="s">
        <v>18</v>
      </c>
      <c r="G72" s="5">
        <v>12.475</v>
      </c>
      <c r="H72" s="5">
        <v>11.83</v>
      </c>
      <c r="I72" s="5">
        <v>1101</v>
      </c>
      <c r="J72" s="3">
        <v>1803.9</v>
      </c>
      <c r="K72" s="6">
        <f t="shared" si="3"/>
        <v>1807.9</v>
      </c>
      <c r="L72" s="6">
        <f t="shared" si="4"/>
        <v>1815.9</v>
      </c>
      <c r="M72" s="6">
        <f t="shared" si="5"/>
        <v>1811.9</v>
      </c>
      <c r="N72" s="7" t="s">
        <v>19</v>
      </c>
      <c r="O72" s="29" t="s">
        <v>135</v>
      </c>
      <c r="P72" s="30" t="s">
        <v>61</v>
      </c>
    </row>
    <row r="73" spans="1:16" ht="51" x14ac:dyDescent="0.25">
      <c r="A73" s="10">
        <v>44007746</v>
      </c>
      <c r="B73" s="2" t="s">
        <v>136</v>
      </c>
      <c r="C73" s="3">
        <v>133.56</v>
      </c>
      <c r="D73" s="11">
        <v>144.94999999999999</v>
      </c>
      <c r="E73" s="5" t="s">
        <v>17</v>
      </c>
      <c r="F73" s="5" t="s">
        <v>18</v>
      </c>
      <c r="G73" s="5">
        <v>14.29</v>
      </c>
      <c r="H73" s="5">
        <v>13.65</v>
      </c>
      <c r="I73" s="5">
        <v>1101</v>
      </c>
      <c r="J73" s="3">
        <v>2066.4</v>
      </c>
      <c r="K73" s="6">
        <f t="shared" si="3"/>
        <v>2070.4</v>
      </c>
      <c r="L73" s="6">
        <f t="shared" si="4"/>
        <v>2078.4</v>
      </c>
      <c r="M73" s="6">
        <f t="shared" si="5"/>
        <v>2074.4</v>
      </c>
      <c r="N73" s="7" t="s">
        <v>19</v>
      </c>
      <c r="O73" s="29" t="s">
        <v>137</v>
      </c>
      <c r="P73" s="30" t="s">
        <v>61</v>
      </c>
    </row>
    <row r="74" spans="1:16" ht="51" x14ac:dyDescent="0.25">
      <c r="A74" s="10">
        <v>44007747</v>
      </c>
      <c r="B74" s="31" t="s">
        <v>138</v>
      </c>
      <c r="C74" s="32">
        <v>133.51</v>
      </c>
      <c r="D74" s="26">
        <v>154.37</v>
      </c>
      <c r="E74" s="5" t="s">
        <v>17</v>
      </c>
      <c r="F74" s="5" t="s">
        <v>18</v>
      </c>
      <c r="G74" s="5">
        <v>15.69</v>
      </c>
      <c r="H74" s="5">
        <v>15</v>
      </c>
      <c r="I74" s="5">
        <v>1101</v>
      </c>
      <c r="J74" s="25">
        <v>2264.85</v>
      </c>
      <c r="K74" s="6">
        <f t="shared" si="3"/>
        <v>2268.85</v>
      </c>
      <c r="L74" s="6">
        <f t="shared" si="4"/>
        <v>2276.85</v>
      </c>
      <c r="M74" s="6">
        <f t="shared" si="5"/>
        <v>2272.85</v>
      </c>
      <c r="N74" s="7" t="s">
        <v>19</v>
      </c>
      <c r="O74" s="29" t="s">
        <v>139</v>
      </c>
      <c r="P74" s="30" t="s">
        <v>61</v>
      </c>
    </row>
    <row r="75" spans="1:16" ht="38.25" x14ac:dyDescent="0.25">
      <c r="A75" s="10">
        <v>44007688</v>
      </c>
      <c r="B75" s="33" t="s">
        <v>140</v>
      </c>
      <c r="C75" s="34">
        <v>157.78</v>
      </c>
      <c r="D75" s="35">
        <v>60.45</v>
      </c>
      <c r="E75" s="5" t="s">
        <v>31</v>
      </c>
      <c r="F75" s="5" t="s">
        <v>18</v>
      </c>
      <c r="G75" s="5">
        <v>13.015000000000001</v>
      </c>
      <c r="H75" s="5">
        <v>12.285</v>
      </c>
      <c r="I75" s="5">
        <v>1101</v>
      </c>
      <c r="J75" s="36">
        <v>139.91</v>
      </c>
      <c r="K75" s="6">
        <f t="shared" si="3"/>
        <v>143.91</v>
      </c>
      <c r="L75" s="6">
        <f t="shared" si="4"/>
        <v>151.91</v>
      </c>
      <c r="M75" s="6">
        <f t="shared" si="5"/>
        <v>147.91</v>
      </c>
      <c r="N75" s="37" t="s">
        <v>35</v>
      </c>
      <c r="O75" s="8" t="s">
        <v>105</v>
      </c>
      <c r="P75" s="9" t="s">
        <v>33</v>
      </c>
    </row>
    <row r="76" spans="1:16" ht="51" x14ac:dyDescent="0.25">
      <c r="A76" s="10">
        <v>44007758</v>
      </c>
      <c r="B76" s="2" t="s">
        <v>141</v>
      </c>
      <c r="C76" s="38">
        <v>153.04</v>
      </c>
      <c r="D76" s="39">
        <v>102.44</v>
      </c>
      <c r="E76" s="5" t="s">
        <v>17</v>
      </c>
      <c r="F76" s="5" t="s">
        <v>18</v>
      </c>
      <c r="G76" s="5">
        <v>13.69</v>
      </c>
      <c r="H76" s="5">
        <v>13</v>
      </c>
      <c r="I76" s="5">
        <v>1101</v>
      </c>
      <c r="J76" s="6">
        <v>2196.6</v>
      </c>
      <c r="K76" s="6">
        <f t="shared" si="3"/>
        <v>2200.6</v>
      </c>
      <c r="L76" s="6">
        <f t="shared" si="4"/>
        <v>2208.6</v>
      </c>
      <c r="M76" s="6">
        <f t="shared" si="5"/>
        <v>2204.6</v>
      </c>
      <c r="N76" s="7" t="s">
        <v>35</v>
      </c>
      <c r="O76" s="8" t="s">
        <v>122</v>
      </c>
      <c r="P76" s="9" t="s">
        <v>61</v>
      </c>
    </row>
    <row r="77" spans="1:16" ht="38.25" x14ac:dyDescent="0.25">
      <c r="A77" s="10">
        <v>44007740</v>
      </c>
      <c r="B77" s="2" t="s">
        <v>142</v>
      </c>
      <c r="C77" s="3">
        <v>153.05000000000001</v>
      </c>
      <c r="D77" s="4">
        <v>95.3</v>
      </c>
      <c r="E77" s="5" t="s">
        <v>17</v>
      </c>
      <c r="F77" s="5" t="s">
        <v>18</v>
      </c>
      <c r="G77" s="5">
        <v>13.65</v>
      </c>
      <c r="H77" s="5">
        <v>13</v>
      </c>
      <c r="I77" s="5">
        <v>1101</v>
      </c>
      <c r="J77" s="6">
        <v>2189.25</v>
      </c>
      <c r="K77" s="6">
        <f t="shared" si="3"/>
        <v>2193.25</v>
      </c>
      <c r="L77" s="6">
        <f t="shared" si="4"/>
        <v>2201.25</v>
      </c>
      <c r="M77" s="6">
        <f t="shared" si="5"/>
        <v>2197.25</v>
      </c>
      <c r="N77" s="7" t="s">
        <v>35</v>
      </c>
      <c r="O77" s="18" t="s">
        <v>103</v>
      </c>
      <c r="P77" s="9" t="s">
        <v>61</v>
      </c>
    </row>
    <row r="78" spans="1:16" ht="25.5" x14ac:dyDescent="0.25">
      <c r="A78" s="10">
        <v>44007742</v>
      </c>
      <c r="B78" s="2" t="s">
        <v>143</v>
      </c>
      <c r="C78" s="3">
        <v>145.05000000000001</v>
      </c>
      <c r="D78" s="4">
        <v>95.3</v>
      </c>
      <c r="E78" s="5" t="s">
        <v>17</v>
      </c>
      <c r="F78" s="5" t="s">
        <v>18</v>
      </c>
      <c r="G78" s="5">
        <v>13.68</v>
      </c>
      <c r="H78" s="5">
        <v>13</v>
      </c>
      <c r="I78" s="5">
        <v>1101</v>
      </c>
      <c r="J78" s="6">
        <v>2080.0500000000002</v>
      </c>
      <c r="K78" s="6">
        <f t="shared" si="3"/>
        <v>2084.0500000000002</v>
      </c>
      <c r="L78" s="6">
        <f t="shared" si="4"/>
        <v>2092.0500000000002</v>
      </c>
      <c r="M78" s="6">
        <f t="shared" si="5"/>
        <v>2088.0500000000002</v>
      </c>
      <c r="N78" s="7" t="s">
        <v>60</v>
      </c>
      <c r="O78" s="18" t="s">
        <v>103</v>
      </c>
      <c r="P78" s="9" t="s">
        <v>61</v>
      </c>
    </row>
    <row r="79" spans="1:16" ht="51" x14ac:dyDescent="0.25">
      <c r="A79" s="10">
        <v>44007683</v>
      </c>
      <c r="B79" s="2" t="s">
        <v>144</v>
      </c>
      <c r="C79" s="3">
        <v>145.05000000000001</v>
      </c>
      <c r="D79" s="4">
        <v>188.08</v>
      </c>
      <c r="E79" s="5" t="s">
        <v>31</v>
      </c>
      <c r="F79" s="5" t="s">
        <v>18</v>
      </c>
      <c r="G79" s="5">
        <v>17.8</v>
      </c>
      <c r="H79" s="5">
        <v>16.38</v>
      </c>
      <c r="I79" s="5">
        <v>1101</v>
      </c>
      <c r="J79" s="6">
        <v>673.05</v>
      </c>
      <c r="K79" s="6">
        <f t="shared" si="3"/>
        <v>677.05</v>
      </c>
      <c r="L79" s="6">
        <f t="shared" si="4"/>
        <v>685.05</v>
      </c>
      <c r="M79" s="6">
        <f t="shared" si="5"/>
        <v>681.05</v>
      </c>
      <c r="N79" s="7" t="s">
        <v>60</v>
      </c>
      <c r="O79" s="8" t="s">
        <v>109</v>
      </c>
      <c r="P79" s="9" t="s">
        <v>64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2025-10-19T06:23:52Z</dcterms:modified>
</cp:coreProperties>
</file>